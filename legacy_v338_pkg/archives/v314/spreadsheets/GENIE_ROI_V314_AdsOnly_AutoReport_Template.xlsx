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캠페인" sheetId="2" state="visible" r:id="rId2"/>
    <sheet xmlns:r="http://schemas.openxmlformats.org/officeDocument/2006/relationships" name="전환매출" sheetId="3" state="visible" r:id="rId3"/>
    <sheet xmlns:r="http://schemas.openxmlformats.org/officeDocument/2006/relationships"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AdsCampaigns" displayName="tblAdsCampaigns" ref="A1:K3" headerRowCount="1">
  <autoFilter ref="A1:K3"/>
  <tableColumns count="11">
    <tableColumn id="1" name="date"/>
    <tableColumn id="2" name="channel(구글/메타/틱톡/네이버 등)"/>
    <tableColumn id="3" name="campaign_id"/>
    <tableColumn id="4" name="campaign_name"/>
    <tableColumn id="5" name="objective"/>
    <tableColumn id="6" name="spend(원)"/>
    <tableColumn id="7" name="impressions"/>
    <tableColumn id="8" name="clicks"/>
    <tableColumn id="9" name="ctr(%)"/>
    <tableColumn id="10" name="cpc(원)"/>
    <tableColumn id="11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Conversions" displayName="tblConversions" ref="A1:G3" headerRowCount="1">
  <autoFilter ref="A1:G3"/>
  <tableColumns count="7">
    <tableColumn id="1" name="date"/>
    <tableColumn id="2" name="conversion_id/UTM"/>
    <tableColumn id="3" name="campaign_id"/>
    <tableColumn id="4" name="conversions"/>
    <tableColumn id="5" name="revenue(원)"/>
    <tableColumn id="6" name="leads"/>
    <tableColumn id="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GENIE_ROI V314 광고 전개(인플루언서 없이) 자동 리포트 템플릿</t>
        </is>
      </c>
    </row>
    <row r="3">
      <c r="A3" t="inlineStr">
        <is>
          <t>1) '캠페인' 시트에 광고 플랫폼별 캠페인 성과를 입력하세요.</t>
        </is>
      </c>
    </row>
    <row r="4">
      <c r="A4" t="inlineStr">
        <is>
          <t>2) '전환/매출' 시트에 주문/리드/매출 데이터를 입력하세요(UTM/전환ID 기준).</t>
        </is>
      </c>
    </row>
    <row r="5">
      <c r="A5" t="inlineStr">
        <is>
          <t>3) '대시보드'에서 ROAS, CPA, 채널별 효율을 자동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2" t="inlineStr">
        <is>
          <t>date</t>
        </is>
      </c>
      <c r="B1" s="2" t="inlineStr">
        <is>
          <t>channel(구글/메타/틱톡/네이버 등)</t>
        </is>
      </c>
      <c r="C1" s="2" t="inlineStr">
        <is>
          <t>campaign_id</t>
        </is>
      </c>
      <c r="D1" s="2" t="inlineStr">
        <is>
          <t>campaign_name</t>
        </is>
      </c>
      <c r="E1" s="2" t="inlineStr">
        <is>
          <t>objective</t>
        </is>
      </c>
      <c r="F1" s="2" t="inlineStr">
        <is>
          <t>spend(원)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ctr(%)</t>
        </is>
      </c>
      <c r="J1" s="2" t="inlineStr">
        <is>
          <t>cpc(원)</t>
        </is>
      </c>
      <c r="K1" s="2" t="inlineStr">
        <is>
          <t>notes</t>
        </is>
      </c>
    </row>
    <row r="2">
      <c r="A2" t="inlineStr">
        <is>
          <t>2026-02-01</t>
        </is>
      </c>
      <c r="B2" t="inlineStr">
        <is>
          <t>Google Ads</t>
        </is>
      </c>
      <c r="C2" t="inlineStr">
        <is>
          <t>GA-200</t>
        </is>
      </c>
      <c r="D2" t="inlineStr">
        <is>
          <t>검색-브랜드</t>
        </is>
      </c>
      <c r="E2" t="inlineStr">
        <is>
          <t>전환</t>
        </is>
      </c>
      <c r="F2" t="n">
        <v>350000</v>
      </c>
      <c r="G2" t="n">
        <v>120000</v>
      </c>
      <c r="H2" t="n">
        <v>3400</v>
      </c>
      <c r="I2">
        <f>IFERROR(H2/G2*100,0)</f>
        <v/>
      </c>
      <c r="J2">
        <f>IFERROR(F2/H2,0)</f>
        <v/>
      </c>
      <c r="K2" t="inlineStr"/>
    </row>
    <row r="3">
      <c r="A3" t="inlineStr">
        <is>
          <t>2026-02-01</t>
        </is>
      </c>
      <c r="B3" t="inlineStr">
        <is>
          <t>Meta Ads</t>
        </is>
      </c>
      <c r="C3" t="inlineStr">
        <is>
          <t>FB-120</t>
        </is>
      </c>
      <c r="D3" t="inlineStr">
        <is>
          <t>리타겟팅</t>
        </is>
      </c>
      <c r="E3" t="inlineStr">
        <is>
          <t>구매</t>
        </is>
      </c>
      <c r="F3" t="n">
        <v>420000</v>
      </c>
      <c r="G3" t="n">
        <v>180000</v>
      </c>
      <c r="H3" t="n">
        <v>2900</v>
      </c>
      <c r="I3">
        <f>IFERROR(H3/G3*100,0)</f>
        <v/>
      </c>
      <c r="J3">
        <f>IFERROR(F3/H3,0)</f>
        <v/>
      </c>
      <c r="K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2" t="inlineStr">
        <is>
          <t>date</t>
        </is>
      </c>
      <c r="B1" s="2" t="inlineStr">
        <is>
          <t>conversion_id/UTM</t>
        </is>
      </c>
      <c r="C1" s="2" t="inlineStr">
        <is>
          <t>campaign_id</t>
        </is>
      </c>
      <c r="D1" s="2" t="inlineStr">
        <is>
          <t>conversions</t>
        </is>
      </c>
      <c r="E1" s="2" t="inlineStr">
        <is>
          <t>revenue(원)</t>
        </is>
      </c>
      <c r="F1" s="2" t="inlineStr">
        <is>
          <t>leads</t>
        </is>
      </c>
      <c r="G1" s="2" t="inlineStr">
        <is>
          <t>notes</t>
        </is>
      </c>
    </row>
    <row r="2">
      <c r="A2" t="inlineStr">
        <is>
          <t>2026-02-01</t>
        </is>
      </c>
      <c r="B2" t="inlineStr">
        <is>
          <t>utm=brand_search</t>
        </is>
      </c>
      <c r="C2" t="inlineStr">
        <is>
          <t>GA-200</t>
        </is>
      </c>
      <c r="D2" t="n">
        <v>120</v>
      </c>
      <c r="E2" t="n">
        <v>2600000</v>
      </c>
      <c r="F2" t="n">
        <v>35</v>
      </c>
      <c r="G2" t="inlineStr"/>
    </row>
    <row r="3">
      <c r="A3" t="inlineStr">
        <is>
          <t>2026-02-01</t>
        </is>
      </c>
      <c r="B3" t="inlineStr">
        <is>
          <t>utm=retarget</t>
        </is>
      </c>
      <c r="C3" t="inlineStr">
        <is>
          <t>FB-120</t>
        </is>
      </c>
      <c r="D3" t="n">
        <v>95</v>
      </c>
      <c r="E3" t="n">
        <v>3100000</v>
      </c>
      <c r="F3" t="n">
        <v>18</v>
      </c>
      <c r="G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3" t="inlineStr">
        <is>
          <t>대시보드 (광고만 운영)</t>
        </is>
      </c>
    </row>
    <row r="3">
      <c r="A3" s="4" t="inlineStr">
        <is>
          <t>채널별 요약</t>
        </is>
      </c>
    </row>
    <row r="4" ht="22" customHeight="1">
      <c r="A4" s="2" t="inlineStr">
        <is>
          <t>channel</t>
        </is>
      </c>
      <c r="B4" s="2" t="inlineStr">
        <is>
          <t>광고비합(원)</t>
        </is>
      </c>
      <c r="C4" s="2" t="inlineStr">
        <is>
          <t>노출합</t>
        </is>
      </c>
      <c r="D4" s="2" t="inlineStr">
        <is>
          <t>클릭합</t>
        </is>
      </c>
      <c r="E4" s="2" t="inlineStr">
        <is>
          <t>평균CTR(%)</t>
        </is>
      </c>
      <c r="F4" s="2" t="inlineStr">
        <is>
          <t>전환합</t>
        </is>
      </c>
      <c r="G4" s="2" t="inlineStr">
        <is>
          <t>매출합(원)</t>
        </is>
      </c>
      <c r="H4" s="2" t="inlineStr">
        <is>
          <t>ROAS</t>
        </is>
      </c>
      <c r="I4" s="2" t="inlineStr">
        <is>
          <t>CPA(원)</t>
        </is>
      </c>
    </row>
    <row r="5">
      <c r="A5" t="inlineStr">
        <is>
          <t>Google Ads</t>
        </is>
      </c>
      <c r="B5">
        <f>SUMIF(캠페인!B:B,A5,캠페인!F:F)</f>
        <v/>
      </c>
      <c r="C5">
        <f>SUMIF(캠페인!B:B,A5,캠페인!G:G)</f>
        <v/>
      </c>
      <c r="D5">
        <f>SUMIF(캠페인!B:B,A5,캠페인!H:H)</f>
        <v/>
      </c>
      <c r="E5">
        <f>IFERROR(D5/C5*100,"")</f>
        <v/>
      </c>
      <c r="F5">
        <f>SUMIF(전환매출!C:C,"*",(전환매출!D:D))</f>
        <v/>
      </c>
    </row>
    <row r="6">
      <c r="A6" t="inlineStr">
        <is>
          <t>Meta Ads</t>
        </is>
      </c>
      <c r="B6">
        <f>SUMIF(캠페인!B:B,A6,캠페인!F:F)</f>
        <v/>
      </c>
      <c r="C6">
        <f>SUMIF(캠페인!B:B,A6,캠페인!G:G)</f>
        <v/>
      </c>
      <c r="D6">
        <f>SUMIF(캠페인!B:B,A6,캠페인!H:H)</f>
        <v/>
      </c>
      <c r="E6">
        <f>IFERROR(D6/C6*100,"")</f>
        <v/>
      </c>
      <c r="F6">
        <f>SUMIF(전환매출!C:C,"*",(전환매출!D:D))</f>
        <v/>
      </c>
    </row>
    <row r="7">
      <c r="A7" t="inlineStr">
        <is>
          <t>TikTok Ads</t>
        </is>
      </c>
      <c r="B7">
        <f>SUMIF(캠페인!B:B,A7,캠페인!F:F)</f>
        <v/>
      </c>
      <c r="C7">
        <f>SUMIF(캠페인!B:B,A7,캠페인!G:G)</f>
        <v/>
      </c>
      <c r="D7">
        <f>SUMIF(캠페인!B:B,A7,캠페인!H:H)</f>
        <v/>
      </c>
      <c r="E7">
        <f>IFERROR(D7/C7*100,"")</f>
        <v/>
      </c>
      <c r="F7">
        <f>SUMIF(전환매출!C:C,"*",(전환매출!D:D))</f>
        <v/>
      </c>
    </row>
    <row r="8">
      <c r="A8" t="inlineStr">
        <is>
          <t>Naver Ads</t>
        </is>
      </c>
      <c r="B8">
        <f>SUMIF(캠페인!B:B,A8,캠페인!F:F)</f>
        <v/>
      </c>
      <c r="C8">
        <f>SUMIF(캠페인!B:B,A8,캠페인!G:G)</f>
        <v/>
      </c>
      <c r="D8">
        <f>SUMIF(캠페인!B:B,A8,캠페인!H:H)</f>
        <v/>
      </c>
      <c r="E8">
        <f>IFERROR(D8/C8*100,"")</f>
        <v/>
      </c>
      <c r="F8">
        <f>SUMIF(전환매출!C:C,"*",(전환매출!D:D))</f>
        <v/>
      </c>
    </row>
    <row r="10">
      <c r="A10" s="4" t="inlineStr">
        <is>
          <t>전체 요약</t>
        </is>
      </c>
    </row>
    <row r="11">
      <c r="A11" t="inlineStr">
        <is>
          <t>총 광고비</t>
        </is>
      </c>
      <c r="B11">
        <f>SUM(캠페인!F:F)</f>
        <v/>
      </c>
    </row>
    <row r="12">
      <c r="A12" t="inlineStr">
        <is>
          <t>총 매출</t>
        </is>
      </c>
      <c r="B12">
        <f>SUM(전환매출!E:E)</f>
        <v/>
      </c>
    </row>
    <row r="13">
      <c r="A13" t="inlineStr">
        <is>
          <t>전체 ROAS</t>
        </is>
      </c>
      <c r="B13">
        <f>IFERROR(B12/B11,"")</f>
        <v/>
      </c>
    </row>
    <row r="14">
      <c r="A14" t="inlineStr">
        <is>
          <t>총 전환</t>
        </is>
      </c>
      <c r="B14">
        <f>SUM(전환매출!D:D)</f>
        <v/>
      </c>
    </row>
    <row r="15">
      <c r="A15" t="inlineStr">
        <is>
          <t>전체 CPA</t>
        </is>
      </c>
      <c r="B15">
        <f>IFERROR(B11/B14,"")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2026-02-26T23:42:02Z</dcterms:created>
  <dcterms:modified xmlns:dcterms="http://purl.org/dc/terms/" xmlns:xsi="http://www.w3.org/2001/XMLSchema-instance" xsi:type="dcterms:W3CDTF">2026-02-26T23:42:02Z</dcterms:modified>
</cp:coreProperties>
</file>