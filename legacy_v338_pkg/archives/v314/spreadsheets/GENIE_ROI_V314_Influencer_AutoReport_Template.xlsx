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" sheetId="1" state="visible" r:id="rId1"/>
    <sheet xmlns:r="http://schemas.openxmlformats.org/officeDocument/2006/relationships" name="인플루언서" sheetId="2" state="visible" r:id="rId2"/>
    <sheet xmlns:r="http://schemas.openxmlformats.org/officeDocument/2006/relationships" name="콘텐츠" sheetId="3" state="visible" r:id="rId3"/>
    <sheet xmlns:r="http://schemas.openxmlformats.org/officeDocument/2006/relationships" name="캠페인성과" sheetId="4" state="visible" r:id="rId4"/>
    <sheet xmlns:r="http://schemas.openxmlformats.org/officeDocument/2006/relationships" name="대시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Influencers" displayName="tblInfluencers" ref="A1:H3" headerRowCount="1">
  <autoFilter ref="A1:H3"/>
  <tableColumns count="8">
    <tableColumn id="1" name="influencer_id"/>
    <tableColumn id="2" name="이름/핸들"/>
    <tableColumn id="3" name="플랫폼"/>
    <tableColumn id="4" name="카테고리"/>
    <tableColumn id="5" name="팔로워수"/>
    <tableColumn id="6" name="국가/언어"/>
    <tableColumn id="7" name="최근30일게시물수"/>
    <tableColumn id="8" name="비고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Content" displayName="tblContent" ref="A1:K4" headerRowCount="1">
  <autoFilter ref="A1:K4"/>
  <tableColumns count="11">
    <tableColumn id="1" name="date"/>
    <tableColumn id="2" name="influencer_id"/>
    <tableColumn id="3" name="콘텐츠_id"/>
    <tableColumn id="4" name="포맷(릴스/쇼츠/피드)"/>
    <tableColumn id="5" name="조회수"/>
    <tableColumn id="6" name="좋아요"/>
    <tableColumn id="7" name="댓글"/>
    <tableColumn id="8" name="공유"/>
    <tableColumn id="9" name="저장"/>
    <tableColumn id="10" name="링크클릭"/>
    <tableColumn id="11" name="비고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InfluCampaigns" displayName="tblInfluCampaigns" ref="A1:M3" headerRowCount="1">
  <autoFilter ref="A1:M3"/>
  <tableColumns count="13">
    <tableColumn id="1" name="campaign_id"/>
    <tableColumn id="2" name="캠페인명"/>
    <tableColumn id="3" name="start_date"/>
    <tableColumn id="4" name="end_date"/>
    <tableColumn id="5" name="influencer_id"/>
    <tableColumn id="6" name="채널"/>
    <tableColumn id="7" name="광고비(원)"/>
    <tableColumn id="8" name="노출"/>
    <tableColumn id="9" name="클릭"/>
    <tableColumn id="10" name="전환수"/>
    <tableColumn id="11" name="매출(원)"/>
    <tableColumn id="12" name="쿠폰코드/UTM"/>
    <tableColumn id="13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1" t="inlineStr">
        <is>
          <t>GENIE_ROI V314 인플루언서 평가 자동 리포트 템플릿</t>
        </is>
      </c>
    </row>
    <row r="2" ht="18" customHeight="1"/>
    <row r="3" ht="18" customHeight="1">
      <c r="A3" t="inlineStr">
        <is>
          <t>1) '인플루언서'와 '콘텐츠' 시트에 데이터를 입력하세요.</t>
        </is>
      </c>
    </row>
    <row r="4" ht="18" customHeight="1">
      <c r="A4" t="inlineStr">
        <is>
          <t>2) 캠페인을 운영했다면 '캠페인성과' 시트에 광고/링크/쿠폰 성과를 입력하세요.</t>
        </is>
      </c>
    </row>
    <row r="5" ht="18" customHeight="1">
      <c r="A5" t="inlineStr">
        <is>
          <t>3) '대시보드' 시트에서 자동 집계 결과와 점수를 확인하세요.</t>
        </is>
      </c>
    </row>
    <row r="6" ht="18" customHeight="1"/>
    <row r="7" ht="18" customHeight="1">
      <c r="A7" t="inlineStr">
        <is>
          <t>팁: 모든 지표는 샘플 수가 너무 적으면 왜곡될 수 있으니 최소 5~10개의 게시물 기준으로 판단하세요.</t>
        </is>
      </c>
    </row>
    <row r="8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2" t="inlineStr">
        <is>
          <t>influencer_id</t>
        </is>
      </c>
      <c r="B1" s="2" t="inlineStr">
        <is>
          <t>이름/핸들</t>
        </is>
      </c>
      <c r="C1" s="2" t="inlineStr">
        <is>
          <t>플랫폼</t>
        </is>
      </c>
      <c r="D1" s="2" t="inlineStr">
        <is>
          <t>카테고리</t>
        </is>
      </c>
      <c r="E1" s="2" t="inlineStr">
        <is>
          <t>팔로워수</t>
        </is>
      </c>
      <c r="F1" s="2" t="inlineStr">
        <is>
          <t>국가/언어</t>
        </is>
      </c>
      <c r="G1" s="2" t="inlineStr">
        <is>
          <t>최근30일게시물수</t>
        </is>
      </c>
      <c r="H1" s="2" t="inlineStr">
        <is>
          <t>비고</t>
        </is>
      </c>
    </row>
    <row r="2">
      <c r="A2" t="inlineStr">
        <is>
          <t>INF-001</t>
        </is>
      </c>
      <c r="B2" t="inlineStr">
        <is>
          <t>@samplebeauty</t>
        </is>
      </c>
      <c r="C2" t="inlineStr">
        <is>
          <t>Instagram</t>
        </is>
      </c>
      <c r="D2" t="inlineStr">
        <is>
          <t>뷰티</t>
        </is>
      </c>
      <c r="E2" t="n">
        <v>120000</v>
      </c>
      <c r="F2" t="inlineStr">
        <is>
          <t>KR/KO</t>
        </is>
      </c>
      <c r="G2" t="n">
        <v>18</v>
      </c>
      <c r="H2" t="inlineStr"/>
    </row>
    <row r="3">
      <c r="A3" t="inlineStr">
        <is>
          <t>INF-002</t>
        </is>
      </c>
      <c r="B3" t="inlineStr">
        <is>
          <t>TechReviewKim</t>
        </is>
      </c>
      <c r="C3" t="inlineStr">
        <is>
          <t>YouTube</t>
        </is>
      </c>
      <c r="D3" t="inlineStr">
        <is>
          <t>IT/가전</t>
        </is>
      </c>
      <c r="E3" t="n">
        <v>54000</v>
      </c>
      <c r="F3" t="inlineStr">
        <is>
          <t>KR/KO</t>
        </is>
      </c>
      <c r="G3" t="n">
        <v>8</v>
      </c>
      <c r="H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2" t="inlineStr">
        <is>
          <t>date</t>
        </is>
      </c>
      <c r="B1" s="2" t="inlineStr">
        <is>
          <t>influencer_id</t>
        </is>
      </c>
      <c r="C1" s="2" t="inlineStr">
        <is>
          <t>콘텐츠_id</t>
        </is>
      </c>
      <c r="D1" s="2" t="inlineStr">
        <is>
          <t>포맷(릴스/쇼츠/피드)</t>
        </is>
      </c>
      <c r="E1" s="2" t="inlineStr">
        <is>
          <t>조회수</t>
        </is>
      </c>
      <c r="F1" s="2" t="inlineStr">
        <is>
          <t>좋아요</t>
        </is>
      </c>
      <c r="G1" s="2" t="inlineStr">
        <is>
          <t>댓글</t>
        </is>
      </c>
      <c r="H1" s="2" t="inlineStr">
        <is>
          <t>공유</t>
        </is>
      </c>
      <c r="I1" s="2" t="inlineStr">
        <is>
          <t>저장</t>
        </is>
      </c>
      <c r="J1" s="2" t="inlineStr">
        <is>
          <t>링크클릭</t>
        </is>
      </c>
      <c r="K1" s="2" t="inlineStr">
        <is>
          <t>비고</t>
        </is>
      </c>
    </row>
    <row r="2">
      <c r="A2" t="inlineStr">
        <is>
          <t>2026-02-01</t>
        </is>
      </c>
      <c r="B2" t="inlineStr">
        <is>
          <t>INF-001</t>
        </is>
      </c>
      <c r="C2" t="inlineStr">
        <is>
          <t>C-0001</t>
        </is>
      </c>
      <c r="D2" t="inlineStr">
        <is>
          <t>릴스</t>
        </is>
      </c>
      <c r="E2" t="n">
        <v>56000</v>
      </c>
      <c r="F2" t="n">
        <v>4200</v>
      </c>
      <c r="G2" t="n">
        <v>120</v>
      </c>
      <c r="H2" t="n">
        <v>85</v>
      </c>
      <c r="I2" t="n">
        <v>310</v>
      </c>
      <c r="J2" t="n">
        <v>640</v>
      </c>
      <c r="K2" t="inlineStr"/>
    </row>
    <row r="3">
      <c r="A3" t="inlineStr">
        <is>
          <t>2026-02-05</t>
        </is>
      </c>
      <c r="B3" t="inlineStr">
        <is>
          <t>INF-001</t>
        </is>
      </c>
      <c r="C3" t="inlineStr">
        <is>
          <t>C-0002</t>
        </is>
      </c>
      <c r="D3" t="inlineStr">
        <is>
          <t>릴스</t>
        </is>
      </c>
      <c r="E3" t="n">
        <v>43000</v>
      </c>
      <c r="F3" t="n">
        <v>3100</v>
      </c>
      <c r="G3" t="n">
        <v>98</v>
      </c>
      <c r="H3" t="n">
        <v>60</v>
      </c>
      <c r="I3" t="n">
        <v>260</v>
      </c>
      <c r="J3" t="n">
        <v>510</v>
      </c>
      <c r="K3" t="inlineStr"/>
    </row>
    <row r="4">
      <c r="A4" t="inlineStr">
        <is>
          <t>2026-02-03</t>
        </is>
      </c>
      <c r="B4" t="inlineStr">
        <is>
          <t>INF-002</t>
        </is>
      </c>
      <c r="C4" t="inlineStr">
        <is>
          <t>C-0101</t>
        </is>
      </c>
      <c r="D4" t="inlineStr">
        <is>
          <t>쇼츠</t>
        </is>
      </c>
      <c r="E4" t="n">
        <v>22000</v>
      </c>
      <c r="F4" t="n">
        <v>980</v>
      </c>
      <c r="G4" t="n">
        <v>44</v>
      </c>
      <c r="H4" t="n">
        <v>25</v>
      </c>
      <c r="I4" t="n">
        <v>120</v>
      </c>
      <c r="J4" t="n">
        <v>210</v>
      </c>
      <c r="K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2" t="inlineStr">
        <is>
          <t>campaign_id</t>
        </is>
      </c>
      <c r="B1" s="2" t="inlineStr">
        <is>
          <t>캠페인명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influencer_id</t>
        </is>
      </c>
      <c r="F1" s="2" t="inlineStr">
        <is>
          <t>채널</t>
        </is>
      </c>
      <c r="G1" s="2" t="inlineStr">
        <is>
          <t>광고비(원)</t>
        </is>
      </c>
      <c r="H1" s="2" t="inlineStr">
        <is>
          <t>노출</t>
        </is>
      </c>
      <c r="I1" s="2" t="inlineStr">
        <is>
          <t>클릭</t>
        </is>
      </c>
      <c r="J1" s="2" t="inlineStr">
        <is>
          <t>전환수</t>
        </is>
      </c>
      <c r="K1" s="2" t="inlineStr">
        <is>
          <t>매출(원)</t>
        </is>
      </c>
      <c r="L1" s="2" t="inlineStr">
        <is>
          <t>쿠폰코드/UTM</t>
        </is>
      </c>
      <c r="M1" s="2" t="inlineStr">
        <is>
          <t>비고</t>
        </is>
      </c>
    </row>
    <row r="2">
      <c r="A2" t="inlineStr">
        <is>
          <t>CMP-100</t>
        </is>
      </c>
      <c r="B2" t="inlineStr">
        <is>
          <t>2월 런칭 캠페인</t>
        </is>
      </c>
      <c r="C2" t="inlineStr">
        <is>
          <t>2026-02-01</t>
        </is>
      </c>
      <c r="D2" t="inlineStr">
        <is>
          <t>2026-02-14</t>
        </is>
      </c>
      <c r="E2" t="inlineStr">
        <is>
          <t>INF-001</t>
        </is>
      </c>
      <c r="F2" t="inlineStr">
        <is>
          <t>IG</t>
        </is>
      </c>
      <c r="G2" t="n">
        <v>1500000</v>
      </c>
      <c r="H2" t="n">
        <v>480000</v>
      </c>
      <c r="I2" t="n">
        <v>7200</v>
      </c>
      <c r="J2" t="n">
        <v>320</v>
      </c>
      <c r="K2" t="n">
        <v>8600000</v>
      </c>
      <c r="L2" t="inlineStr">
        <is>
          <t>UTM: feb_launch</t>
        </is>
      </c>
      <c r="M2" t="inlineStr"/>
    </row>
    <row r="3">
      <c r="A3" t="inlineStr">
        <is>
          <t>CMP-101</t>
        </is>
      </c>
      <c r="B3" t="inlineStr">
        <is>
          <t>제품 리뷰 캠페인</t>
        </is>
      </c>
      <c r="C3" t="inlineStr">
        <is>
          <t>2026-02-02</t>
        </is>
      </c>
      <c r="D3" t="inlineStr">
        <is>
          <t>2026-02-20</t>
        </is>
      </c>
      <c r="E3" t="inlineStr">
        <is>
          <t>INF-002</t>
        </is>
      </c>
      <c r="F3" t="inlineStr">
        <is>
          <t>YT</t>
        </is>
      </c>
      <c r="G3" t="n">
        <v>800000</v>
      </c>
      <c r="H3" t="n">
        <v>210000</v>
      </c>
      <c r="I3" t="n">
        <v>3400</v>
      </c>
      <c r="J3" t="n">
        <v>140</v>
      </c>
      <c r="K3" t="n">
        <v>4200000</v>
      </c>
      <c r="L3" t="inlineStr">
        <is>
          <t>쿠폰: TECH10</t>
        </is>
      </c>
      <c r="M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대시보드 (자동 집계)</t>
        </is>
      </c>
    </row>
    <row r="3">
      <c r="A3" s="4" t="inlineStr">
        <is>
          <t>인플루언서별 요약</t>
        </is>
      </c>
    </row>
    <row r="4" ht="22" customHeight="1">
      <c r="A4" s="2" t="inlineStr">
        <is>
          <t>influencer_id</t>
        </is>
      </c>
      <c r="B4" s="2" t="inlineStr">
        <is>
          <t>이름/핸들</t>
        </is>
      </c>
      <c r="C4" s="2" t="inlineStr">
        <is>
          <t>팔로워수</t>
        </is>
      </c>
      <c r="D4" s="2" t="inlineStr">
        <is>
          <t>게시물수</t>
        </is>
      </c>
      <c r="E4" s="2" t="inlineStr">
        <is>
          <t>평균조회</t>
        </is>
      </c>
      <c r="F4" s="2" t="inlineStr">
        <is>
          <t>평균참여율(%)</t>
        </is>
      </c>
      <c r="G4" s="2" t="inlineStr">
        <is>
          <t>링크클릭합</t>
        </is>
      </c>
      <c r="H4" s="2" t="inlineStr">
        <is>
          <t>광고비합(원)</t>
        </is>
      </c>
      <c r="I4" s="2" t="inlineStr">
        <is>
          <t>매출합(원)</t>
        </is>
      </c>
      <c r="J4" s="2" t="inlineStr">
        <is>
          <t>ROAS</t>
        </is>
      </c>
    </row>
    <row r="5">
      <c r="A5" t="inlineStr">
        <is>
          <t>INF-001</t>
        </is>
      </c>
      <c r="B5">
        <f>IF(A5="","",XLOOKUP(A5,인플루언서!A:A,인플루언서!B:B,""))</f>
        <v/>
      </c>
      <c r="C5">
        <f>IF(A5="","",XLOOKUP(A5,인플루언서!A:A,인플루언서!E:E,""))</f>
        <v/>
      </c>
      <c r="D5">
        <f>IF(A5="","",COUNTIF(콘텐츠!B:B,A5))</f>
        <v/>
      </c>
      <c r="E5">
        <f>IF(A5="","",AVERAGEIF(콘텐츠!B:B,A5,콘텐츠!E:E))</f>
        <v/>
      </c>
      <c r="F5">
        <f>IF(A5="","",IFERROR(100*AVERAGE(IF(콘텐츠!B:B=A5,(콘텐츠!F:F+콘텐츠!G:G+콘텐츠!H:H+콘텐츠!I:I)/콘텐츠!E:E)), ""))</f>
        <v/>
      </c>
      <c r="G5">
        <f>IF(A5="","",SUMIF(콘텐츠!B:B,A5,콘텐츠!J:J))</f>
        <v/>
      </c>
      <c r="H5">
        <f>IF(A5="","",SUMIF(캠페인성과!E:E,A5,캠페인성과!G:G))</f>
        <v/>
      </c>
      <c r="I5">
        <f>IF(A5="","",SUMIF(캠페인성과!E:E,A5,캠페인성과!K:K))</f>
        <v/>
      </c>
      <c r="J5">
        <f>IF(A5="","",IFERROR(I5/H5,""))</f>
        <v/>
      </c>
    </row>
    <row r="6">
      <c r="A6" t="inlineStr">
        <is>
          <t>INF-002</t>
        </is>
      </c>
      <c r="B6">
        <f>IF(A6="","",XLOOKUP(A6,인플루언서!A:A,인플루언서!B:B,""))</f>
        <v/>
      </c>
      <c r="C6">
        <f>IF(A6="","",XLOOKUP(A6,인플루언서!A:A,인플루언서!E:E,""))</f>
        <v/>
      </c>
      <c r="D6">
        <f>IF(A6="","",COUNTIF(콘텐츠!B:B,A6))</f>
        <v/>
      </c>
      <c r="E6">
        <f>IF(A6="","",AVERAGEIF(콘텐츠!B:B,A6,콘텐츠!E:E))</f>
        <v/>
      </c>
      <c r="F6">
        <f>IF(A6="","",IFERROR(100*AVERAGE(IF(콘텐츠!B:B=A6,(콘텐츠!F:F+콘텐츠!G:G+콘텐츠!H:H+콘텐츠!I:I)/콘텐츠!E:E)), ""))</f>
        <v/>
      </c>
      <c r="G6">
        <f>IF(A6="","",SUMIF(콘텐츠!B:B,A6,콘텐츠!J:J))</f>
        <v/>
      </c>
      <c r="H6">
        <f>IF(A6="","",SUMIF(캠페인성과!E:E,A6,캠페인성과!G:G))</f>
        <v/>
      </c>
      <c r="I6">
        <f>IF(A6="","",SUMIF(캠페인성과!E:E,A6,캠페인성과!K:K))</f>
        <v/>
      </c>
      <c r="J6">
        <f>IF(A6="","",IFERROR(I6/H6,""))</f>
        <v/>
      </c>
    </row>
    <row r="7">
      <c r="A7" t="inlineStr"/>
      <c r="B7">
        <f>IF(A7="","",XLOOKUP(A7,인플루언서!A:A,인플루언서!B:B,""))</f>
        <v/>
      </c>
      <c r="C7">
        <f>IF(A7="","",XLOOKUP(A7,인플루언서!A:A,인플루언서!E:E,""))</f>
        <v/>
      </c>
      <c r="D7">
        <f>IF(A7="","",COUNTIF(콘텐츠!B:B,A7))</f>
        <v/>
      </c>
      <c r="E7">
        <f>IF(A7="","",AVERAGEIF(콘텐츠!B:B,A7,콘텐츠!E:E))</f>
        <v/>
      </c>
      <c r="F7">
        <f>IF(A7="","",IFERROR(100*AVERAGE(IF(콘텐츠!B:B=A7,(콘텐츠!F:F+콘텐츠!G:G+콘텐츠!H:H+콘텐츠!I:I)/콘텐츠!E:E)), ""))</f>
        <v/>
      </c>
      <c r="G7">
        <f>IF(A7="","",SUMIF(콘텐츠!B:B,A7,콘텐츠!J:J))</f>
        <v/>
      </c>
      <c r="H7">
        <f>IF(A7="","",SUMIF(캠페인성과!E:E,A7,캠페인성과!G:G))</f>
        <v/>
      </c>
      <c r="I7">
        <f>IF(A7="","",SUMIF(캠페인성과!E:E,A7,캠페인성과!K:K))</f>
        <v/>
      </c>
      <c r="J7">
        <f>IF(A7="","",IFERROR(I7/H7,""))</f>
        <v/>
      </c>
    </row>
    <row r="8">
      <c r="A8" t="inlineStr"/>
      <c r="B8">
        <f>IF(A8="","",XLOOKUP(A8,인플루언서!A:A,인플루언서!B:B,""))</f>
        <v/>
      </c>
      <c r="C8">
        <f>IF(A8="","",XLOOKUP(A8,인플루언서!A:A,인플루언서!E:E,""))</f>
        <v/>
      </c>
      <c r="D8">
        <f>IF(A8="","",COUNTIF(콘텐츠!B:B,A8))</f>
        <v/>
      </c>
      <c r="E8">
        <f>IF(A8="","",AVERAGEIF(콘텐츠!B:B,A8,콘텐츠!E:E))</f>
        <v/>
      </c>
      <c r="F8">
        <f>IF(A8="","",IFERROR(100*AVERAGE(IF(콘텐츠!B:B=A8,(콘텐츠!F:F+콘텐츠!G:G+콘텐츠!H:H+콘텐츠!I:I)/콘텐츠!E:E)), ""))</f>
        <v/>
      </c>
      <c r="G8">
        <f>IF(A8="","",SUMIF(콘텐츠!B:B,A8,콘텐츠!J:J))</f>
        <v/>
      </c>
      <c r="H8">
        <f>IF(A8="","",SUMIF(캠페인성과!E:E,A8,캠페인성과!G:G))</f>
        <v/>
      </c>
      <c r="I8">
        <f>IF(A8="","",SUMIF(캠페인성과!E:E,A8,캠페인성과!K:K))</f>
        <v/>
      </c>
      <c r="J8">
        <f>IF(A8="","",IFERROR(I8/H8,""))</f>
        <v/>
      </c>
    </row>
    <row r="9">
      <c r="A9" t="inlineStr"/>
      <c r="B9">
        <f>IF(A9="","",XLOOKUP(A9,인플루언서!A:A,인플루언서!B:B,""))</f>
        <v/>
      </c>
      <c r="C9">
        <f>IF(A9="","",XLOOKUP(A9,인플루언서!A:A,인플루언서!E:E,""))</f>
        <v/>
      </c>
      <c r="D9">
        <f>IF(A9="","",COUNTIF(콘텐츠!B:B,A9))</f>
        <v/>
      </c>
      <c r="E9">
        <f>IF(A9="","",AVERAGEIF(콘텐츠!B:B,A9,콘텐츠!E:E))</f>
        <v/>
      </c>
      <c r="F9">
        <f>IF(A9="","",IFERROR(100*AVERAGE(IF(콘텐츠!B:B=A9,(콘텐츠!F:F+콘텐츠!G:G+콘텐츠!H:H+콘텐츠!I:I)/콘텐츠!E:E)), ""))</f>
        <v/>
      </c>
      <c r="G9">
        <f>IF(A9="","",SUMIF(콘텐츠!B:B,A9,콘텐츠!J:J))</f>
        <v/>
      </c>
      <c r="H9">
        <f>IF(A9="","",SUMIF(캠페인성과!E:E,A9,캠페인성과!G:G))</f>
        <v/>
      </c>
      <c r="I9">
        <f>IF(A9="","",SUMIF(캠페인성과!E:E,A9,캠페인성과!K:K))</f>
        <v/>
      </c>
      <c r="J9">
        <f>IF(A9="","",IFERROR(I9/H9,""))</f>
        <v/>
      </c>
    </row>
    <row r="10">
      <c r="A10" t="inlineStr"/>
      <c r="B10">
        <f>IF(A10="","",XLOOKUP(A10,인플루언서!A:A,인플루언서!B:B,""))</f>
        <v/>
      </c>
      <c r="C10">
        <f>IF(A10="","",XLOOKUP(A10,인플루언서!A:A,인플루언서!E:E,""))</f>
        <v/>
      </c>
      <c r="D10">
        <f>IF(A10="","",COUNTIF(콘텐츠!B:B,A10))</f>
        <v/>
      </c>
      <c r="E10">
        <f>IF(A10="","",AVERAGEIF(콘텐츠!B:B,A10,콘텐츠!E:E))</f>
        <v/>
      </c>
      <c r="F10">
        <f>IF(A10="","",IFERROR(100*AVERAGE(IF(콘텐츠!B:B=A10,(콘텐츠!F:F+콘텐츠!G:G+콘텐츠!H:H+콘텐츠!I:I)/콘텐츠!E:E)), ""))</f>
        <v/>
      </c>
      <c r="G10">
        <f>IF(A10="","",SUMIF(콘텐츠!B:B,A10,콘텐츠!J:J))</f>
        <v/>
      </c>
      <c r="H10">
        <f>IF(A10="","",SUMIF(캠페인성과!E:E,A10,캠페인성과!G:G))</f>
        <v/>
      </c>
      <c r="I10">
        <f>IF(A10="","",SUMIF(캠페인성과!E:E,A10,캠페인성과!K:K))</f>
        <v/>
      </c>
      <c r="J10">
        <f>IF(A10="","",IFERROR(I10/H10,""))</f>
        <v/>
      </c>
    </row>
    <row r="11">
      <c r="A11" t="inlineStr"/>
      <c r="B11">
        <f>IF(A11="","",XLOOKUP(A11,인플루언서!A:A,인플루언서!B:B,""))</f>
        <v/>
      </c>
      <c r="C11">
        <f>IF(A11="","",XLOOKUP(A11,인플루언서!A:A,인플루언서!E:E,""))</f>
        <v/>
      </c>
      <c r="D11">
        <f>IF(A11="","",COUNTIF(콘텐츠!B:B,A11))</f>
        <v/>
      </c>
      <c r="E11">
        <f>IF(A11="","",AVERAGEIF(콘텐츠!B:B,A11,콘텐츠!E:E))</f>
        <v/>
      </c>
      <c r="F11">
        <f>IF(A11="","",IFERROR(100*AVERAGE(IF(콘텐츠!B:B=A11,(콘텐츠!F:F+콘텐츠!G:G+콘텐츠!H:H+콘텐츠!I:I)/콘텐츠!E:E)), ""))</f>
        <v/>
      </c>
      <c r="G11">
        <f>IF(A11="","",SUMIF(콘텐츠!B:B,A11,콘텐츠!J:J))</f>
        <v/>
      </c>
      <c r="H11">
        <f>IF(A11="","",SUMIF(캠페인성과!E:E,A11,캠페인성과!G:G))</f>
        <v/>
      </c>
      <c r="I11">
        <f>IF(A11="","",SUMIF(캠페인성과!E:E,A11,캠페인성과!K:K))</f>
        <v/>
      </c>
      <c r="J11">
        <f>IF(A11="","",IFERROR(I11/H11,""))</f>
        <v/>
      </c>
    </row>
    <row r="12">
      <c r="A12" t="inlineStr"/>
      <c r="B12">
        <f>IF(A12="","",XLOOKUP(A12,인플루언서!A:A,인플루언서!B:B,""))</f>
        <v/>
      </c>
      <c r="C12">
        <f>IF(A12="","",XLOOKUP(A12,인플루언서!A:A,인플루언서!E:E,""))</f>
        <v/>
      </c>
      <c r="D12">
        <f>IF(A12="","",COUNTIF(콘텐츠!B:B,A12))</f>
        <v/>
      </c>
      <c r="E12">
        <f>IF(A12="","",AVERAGEIF(콘텐츠!B:B,A12,콘텐츠!E:E))</f>
        <v/>
      </c>
      <c r="F12">
        <f>IF(A12="","",IFERROR(100*AVERAGE(IF(콘텐츠!B:B=A12,(콘텐츠!F:F+콘텐츠!G:G+콘텐츠!H:H+콘텐츠!I:I)/콘텐츠!E:E)), ""))</f>
        <v/>
      </c>
      <c r="G12">
        <f>IF(A12="","",SUMIF(콘텐츠!B:B,A12,콘텐츠!J:J))</f>
        <v/>
      </c>
      <c r="H12">
        <f>IF(A12="","",SUMIF(캠페인성과!E:E,A12,캠페인성과!G:G))</f>
        <v/>
      </c>
      <c r="I12">
        <f>IF(A12="","",SUMIF(캠페인성과!E:E,A12,캠페인성과!K:K))</f>
        <v/>
      </c>
      <c r="J12">
        <f>IF(A12="","",IFERROR(I12/H12,""))</f>
        <v/>
      </c>
    </row>
    <row r="13">
      <c r="A13" t="inlineStr"/>
      <c r="B13">
        <f>IF(A13="","",XLOOKUP(A13,인플루언서!A:A,인플루언서!B:B,""))</f>
        <v/>
      </c>
      <c r="C13">
        <f>IF(A13="","",XLOOKUP(A13,인플루언서!A:A,인플루언서!E:E,""))</f>
        <v/>
      </c>
      <c r="D13">
        <f>IF(A13="","",COUNTIF(콘텐츠!B:B,A13))</f>
        <v/>
      </c>
      <c r="E13">
        <f>IF(A13="","",AVERAGEIF(콘텐츠!B:B,A13,콘텐츠!E:E))</f>
        <v/>
      </c>
      <c r="F13">
        <f>IF(A13="","",IFERROR(100*AVERAGE(IF(콘텐츠!B:B=A13,(콘텐츠!F:F+콘텐츠!G:G+콘텐츠!H:H+콘텐츠!I:I)/콘텐츠!E:E)), ""))</f>
        <v/>
      </c>
      <c r="G13">
        <f>IF(A13="","",SUMIF(콘텐츠!B:B,A13,콘텐츠!J:J))</f>
        <v/>
      </c>
      <c r="H13">
        <f>IF(A13="","",SUMIF(캠페인성과!E:E,A13,캠페인성과!G:G))</f>
        <v/>
      </c>
      <c r="I13">
        <f>IF(A13="","",SUMIF(캠페인성과!E:E,A13,캠페인성과!K:K))</f>
        <v/>
      </c>
      <c r="J13">
        <f>IF(A13="","",IFERROR(I13/H13,""))</f>
        <v/>
      </c>
    </row>
    <row r="14">
      <c r="A14" t="inlineStr"/>
      <c r="B14">
        <f>IF(A14="","",XLOOKUP(A14,인플루언서!A:A,인플루언서!B:B,""))</f>
        <v/>
      </c>
      <c r="C14">
        <f>IF(A14="","",XLOOKUP(A14,인플루언서!A:A,인플루언서!E:E,""))</f>
        <v/>
      </c>
      <c r="D14">
        <f>IF(A14="","",COUNTIF(콘텐츠!B:B,A14))</f>
        <v/>
      </c>
      <c r="E14">
        <f>IF(A14="","",AVERAGEIF(콘텐츠!B:B,A14,콘텐츠!E:E))</f>
        <v/>
      </c>
      <c r="F14">
        <f>IF(A14="","",IFERROR(100*AVERAGE(IF(콘텐츠!B:B=A14,(콘텐츠!F:F+콘텐츠!G:G+콘텐츠!H:H+콘텐츠!I:I)/콘텐츠!E:E)), ""))</f>
        <v/>
      </c>
      <c r="G14">
        <f>IF(A14="","",SUMIF(콘텐츠!B:B,A14,콘텐츠!J:J))</f>
        <v/>
      </c>
      <c r="H14">
        <f>IF(A14="","",SUMIF(캠페인성과!E:E,A14,캠페인성과!G:G))</f>
        <v/>
      </c>
      <c r="I14">
        <f>IF(A14="","",SUMIF(캠페인성과!E:E,A14,캠페인성과!K:K))</f>
        <v/>
      </c>
      <c r="J14">
        <f>IF(A14="","",IFERROR(I14/H14,""))</f>
        <v/>
      </c>
    </row>
    <row r="15">
      <c r="A15" t="inlineStr"/>
      <c r="B15">
        <f>IF(A15="","",XLOOKUP(A15,인플루언서!A:A,인플루언서!B:B,""))</f>
        <v/>
      </c>
      <c r="C15">
        <f>IF(A15="","",XLOOKUP(A15,인플루언서!A:A,인플루언서!E:E,""))</f>
        <v/>
      </c>
      <c r="D15">
        <f>IF(A15="","",COUNTIF(콘텐츠!B:B,A15))</f>
        <v/>
      </c>
      <c r="E15">
        <f>IF(A15="","",AVERAGEIF(콘텐츠!B:B,A15,콘텐츠!E:E))</f>
        <v/>
      </c>
      <c r="F15">
        <f>IF(A15="","",IFERROR(100*AVERAGE(IF(콘텐츠!B:B=A15,(콘텐츠!F:F+콘텐츠!G:G+콘텐츠!H:H+콘텐츠!I:I)/콘텐츠!E:E)), ""))</f>
        <v/>
      </c>
      <c r="G15">
        <f>IF(A15="","",SUMIF(콘텐츠!B:B,A15,콘텐츠!J:J))</f>
        <v/>
      </c>
      <c r="H15">
        <f>IF(A15="","",SUMIF(캠페인성과!E:E,A15,캠페인성과!G:G))</f>
        <v/>
      </c>
      <c r="I15">
        <f>IF(A15="","",SUMIF(캠페인성과!E:E,A15,캠페인성과!K:K))</f>
        <v/>
      </c>
      <c r="J15">
        <f>IF(A15="","",IFERROR(I15/H15,""))</f>
        <v/>
      </c>
    </row>
    <row r="16">
      <c r="A16" t="inlineStr"/>
      <c r="B16">
        <f>IF(A16="","",XLOOKUP(A16,인플루언서!A:A,인플루언서!B:B,""))</f>
        <v/>
      </c>
      <c r="C16">
        <f>IF(A16="","",XLOOKUP(A16,인플루언서!A:A,인플루언서!E:E,""))</f>
        <v/>
      </c>
      <c r="D16">
        <f>IF(A16="","",COUNTIF(콘텐츠!B:B,A16))</f>
        <v/>
      </c>
      <c r="E16">
        <f>IF(A16="","",AVERAGEIF(콘텐츠!B:B,A16,콘텐츠!E:E))</f>
        <v/>
      </c>
      <c r="F16">
        <f>IF(A16="","",IFERROR(100*AVERAGE(IF(콘텐츠!B:B=A16,(콘텐츠!F:F+콘텐츠!G:G+콘텐츠!H:H+콘텐츠!I:I)/콘텐츠!E:E)), ""))</f>
        <v/>
      </c>
      <c r="G16">
        <f>IF(A16="","",SUMIF(콘텐츠!B:B,A16,콘텐츠!J:J))</f>
        <v/>
      </c>
      <c r="H16">
        <f>IF(A16="","",SUMIF(캠페인성과!E:E,A16,캠페인성과!G:G))</f>
        <v/>
      </c>
      <c r="I16">
        <f>IF(A16="","",SUMIF(캠페인성과!E:E,A16,캠페인성과!K:K))</f>
        <v/>
      </c>
      <c r="J16">
        <f>IF(A16="","",IFERROR(I16/H16,""))</f>
        <v/>
      </c>
    </row>
    <row r="17">
      <c r="A17" t="inlineStr"/>
      <c r="B17">
        <f>IF(A17="","",XLOOKUP(A17,인플루언서!A:A,인플루언서!B:B,""))</f>
        <v/>
      </c>
      <c r="C17">
        <f>IF(A17="","",XLOOKUP(A17,인플루언서!A:A,인플루언서!E:E,""))</f>
        <v/>
      </c>
      <c r="D17">
        <f>IF(A17="","",COUNTIF(콘텐츠!B:B,A17))</f>
        <v/>
      </c>
      <c r="E17">
        <f>IF(A17="","",AVERAGEIF(콘텐츠!B:B,A17,콘텐츠!E:E))</f>
        <v/>
      </c>
      <c r="F17">
        <f>IF(A17="","",IFERROR(100*AVERAGE(IF(콘텐츠!B:B=A17,(콘텐츠!F:F+콘텐츠!G:G+콘텐츠!H:H+콘텐츠!I:I)/콘텐츠!E:E)), ""))</f>
        <v/>
      </c>
      <c r="G17">
        <f>IF(A17="","",SUMIF(콘텐츠!B:B,A17,콘텐츠!J:J))</f>
        <v/>
      </c>
      <c r="H17">
        <f>IF(A17="","",SUMIF(캠페인성과!E:E,A17,캠페인성과!G:G))</f>
        <v/>
      </c>
      <c r="I17">
        <f>IF(A17="","",SUMIF(캠페인성과!E:E,A17,캠페인성과!K:K))</f>
        <v/>
      </c>
      <c r="J17">
        <f>IF(A17="","",IFERROR(I17/H17,""))</f>
        <v/>
      </c>
    </row>
    <row r="18">
      <c r="A18" t="inlineStr"/>
      <c r="B18">
        <f>IF(A18="","",XLOOKUP(A18,인플루언서!A:A,인플루언서!B:B,""))</f>
        <v/>
      </c>
      <c r="C18">
        <f>IF(A18="","",XLOOKUP(A18,인플루언서!A:A,인플루언서!E:E,""))</f>
        <v/>
      </c>
      <c r="D18">
        <f>IF(A18="","",COUNTIF(콘텐츠!B:B,A18))</f>
        <v/>
      </c>
      <c r="E18">
        <f>IF(A18="","",AVERAGEIF(콘텐츠!B:B,A18,콘텐츠!E:E))</f>
        <v/>
      </c>
      <c r="F18">
        <f>IF(A18="","",IFERROR(100*AVERAGE(IF(콘텐츠!B:B=A18,(콘텐츠!F:F+콘텐츠!G:G+콘텐츠!H:H+콘텐츠!I:I)/콘텐츠!E:E)), ""))</f>
        <v/>
      </c>
      <c r="G18">
        <f>IF(A18="","",SUMIF(콘텐츠!B:B,A18,콘텐츠!J:J))</f>
        <v/>
      </c>
      <c r="H18">
        <f>IF(A18="","",SUMIF(캠페인성과!E:E,A18,캠페인성과!G:G))</f>
        <v/>
      </c>
      <c r="I18">
        <f>IF(A18="","",SUMIF(캠페인성과!E:E,A18,캠페인성과!K:K))</f>
        <v/>
      </c>
      <c r="J18">
        <f>IF(A18="","",IFERROR(I18/H18,""))</f>
        <v/>
      </c>
    </row>
    <row r="19">
      <c r="A19" t="inlineStr"/>
      <c r="B19">
        <f>IF(A19="","",XLOOKUP(A19,인플루언서!A:A,인플루언서!B:B,""))</f>
        <v/>
      </c>
      <c r="C19">
        <f>IF(A19="","",XLOOKUP(A19,인플루언서!A:A,인플루언서!E:E,""))</f>
        <v/>
      </c>
      <c r="D19">
        <f>IF(A19="","",COUNTIF(콘텐츠!B:B,A19))</f>
        <v/>
      </c>
      <c r="E19">
        <f>IF(A19="","",AVERAGEIF(콘텐츠!B:B,A19,콘텐츠!E:E))</f>
        <v/>
      </c>
      <c r="F19">
        <f>IF(A19="","",IFERROR(100*AVERAGE(IF(콘텐츠!B:B=A19,(콘텐츠!F:F+콘텐츠!G:G+콘텐츠!H:H+콘텐츠!I:I)/콘텐츠!E:E)), ""))</f>
        <v/>
      </c>
      <c r="G19">
        <f>IF(A19="","",SUMIF(콘텐츠!B:B,A19,콘텐츠!J:J))</f>
        <v/>
      </c>
      <c r="H19">
        <f>IF(A19="","",SUMIF(캠페인성과!E:E,A19,캠페인성과!G:G))</f>
        <v/>
      </c>
      <c r="I19">
        <f>IF(A19="","",SUMIF(캠페인성과!E:E,A19,캠페인성과!K:K))</f>
        <v/>
      </c>
      <c r="J19">
        <f>IF(A19="","",IFERROR(I19/H19,""))</f>
        <v/>
      </c>
    </row>
    <row r="20">
      <c r="A20" t="inlineStr"/>
      <c r="B20">
        <f>IF(A20="","",XLOOKUP(A20,인플루언서!A:A,인플루언서!B:B,""))</f>
        <v/>
      </c>
      <c r="C20">
        <f>IF(A20="","",XLOOKUP(A20,인플루언서!A:A,인플루언서!E:E,""))</f>
        <v/>
      </c>
      <c r="D20">
        <f>IF(A20="","",COUNTIF(콘텐츠!B:B,A20))</f>
        <v/>
      </c>
      <c r="E20">
        <f>IF(A20="","",AVERAGEIF(콘텐츠!B:B,A20,콘텐츠!E:E))</f>
        <v/>
      </c>
      <c r="F20">
        <f>IF(A20="","",IFERROR(100*AVERAGE(IF(콘텐츠!B:B=A20,(콘텐츠!F:F+콘텐츠!G:G+콘텐츠!H:H+콘텐츠!I:I)/콘텐츠!E:E)), ""))</f>
        <v/>
      </c>
      <c r="G20">
        <f>IF(A20="","",SUMIF(콘텐츠!B:B,A20,콘텐츠!J:J))</f>
        <v/>
      </c>
      <c r="H20">
        <f>IF(A20="","",SUMIF(캠페인성과!E:E,A20,캠페인성과!G:G))</f>
        <v/>
      </c>
      <c r="I20">
        <f>IF(A20="","",SUMIF(캠페인성과!E:E,A20,캠페인성과!K:K))</f>
        <v/>
      </c>
      <c r="J20">
        <f>IF(A20="","",IFERROR(I20/H20,""))</f>
        <v/>
      </c>
    </row>
    <row r="21">
      <c r="A21" t="inlineStr"/>
      <c r="B21">
        <f>IF(A21="","",XLOOKUP(A21,인플루언서!A:A,인플루언서!B:B,""))</f>
        <v/>
      </c>
      <c r="C21">
        <f>IF(A21="","",XLOOKUP(A21,인플루언서!A:A,인플루언서!E:E,""))</f>
        <v/>
      </c>
      <c r="D21">
        <f>IF(A21="","",COUNTIF(콘텐츠!B:B,A21))</f>
        <v/>
      </c>
      <c r="E21">
        <f>IF(A21="","",AVERAGEIF(콘텐츠!B:B,A21,콘텐츠!E:E))</f>
        <v/>
      </c>
      <c r="F21">
        <f>IF(A21="","",IFERROR(100*AVERAGE(IF(콘텐츠!B:B=A21,(콘텐츠!F:F+콘텐츠!G:G+콘텐츠!H:H+콘텐츠!I:I)/콘텐츠!E:E)), ""))</f>
        <v/>
      </c>
      <c r="G21">
        <f>IF(A21="","",SUMIF(콘텐츠!B:B,A21,콘텐츠!J:J))</f>
        <v/>
      </c>
      <c r="H21">
        <f>IF(A21="","",SUMIF(캠페인성과!E:E,A21,캠페인성과!G:G))</f>
        <v/>
      </c>
      <c r="I21">
        <f>IF(A21="","",SUMIF(캠페인성과!E:E,A21,캠페인성과!K:K))</f>
        <v/>
      </c>
      <c r="J21">
        <f>IF(A21="","",IFERROR(I21/H21,""))</f>
        <v/>
      </c>
    </row>
    <row r="22">
      <c r="A22" t="inlineStr"/>
      <c r="B22">
        <f>IF(A22="","",XLOOKUP(A22,인플루언서!A:A,인플루언서!B:B,""))</f>
        <v/>
      </c>
      <c r="C22">
        <f>IF(A22="","",XLOOKUP(A22,인플루언서!A:A,인플루언서!E:E,""))</f>
        <v/>
      </c>
      <c r="D22">
        <f>IF(A22="","",COUNTIF(콘텐츠!B:B,A22))</f>
        <v/>
      </c>
      <c r="E22">
        <f>IF(A22="","",AVERAGEIF(콘텐츠!B:B,A22,콘텐츠!E:E))</f>
        <v/>
      </c>
      <c r="F22">
        <f>IF(A22="","",IFERROR(100*AVERAGE(IF(콘텐츠!B:B=A22,(콘텐츠!F:F+콘텐츠!G:G+콘텐츠!H:H+콘텐츠!I:I)/콘텐츠!E:E)), ""))</f>
        <v/>
      </c>
      <c r="G22">
        <f>IF(A22="","",SUMIF(콘텐츠!B:B,A22,콘텐츠!J:J))</f>
        <v/>
      </c>
      <c r="H22">
        <f>IF(A22="","",SUMIF(캠페인성과!E:E,A22,캠페인성과!G:G))</f>
        <v/>
      </c>
      <c r="I22">
        <f>IF(A22="","",SUMIF(캠페인성과!E:E,A22,캠페인성과!K:K))</f>
        <v/>
      </c>
      <c r="J22">
        <f>IF(A22="","",IFERROR(I22/H22,""))</f>
        <v/>
      </c>
    </row>
    <row r="23">
      <c r="A23" t="inlineStr"/>
      <c r="B23">
        <f>IF(A23="","",XLOOKUP(A23,인플루언서!A:A,인플루언서!B:B,""))</f>
        <v/>
      </c>
      <c r="C23">
        <f>IF(A23="","",XLOOKUP(A23,인플루언서!A:A,인플루언서!E:E,""))</f>
        <v/>
      </c>
      <c r="D23">
        <f>IF(A23="","",COUNTIF(콘텐츠!B:B,A23))</f>
        <v/>
      </c>
      <c r="E23">
        <f>IF(A23="","",AVERAGEIF(콘텐츠!B:B,A23,콘텐츠!E:E))</f>
        <v/>
      </c>
      <c r="F23">
        <f>IF(A23="","",IFERROR(100*AVERAGE(IF(콘텐츠!B:B=A23,(콘텐츠!F:F+콘텐츠!G:G+콘텐츠!H:H+콘텐츠!I:I)/콘텐츠!E:E)), ""))</f>
        <v/>
      </c>
      <c r="G23">
        <f>IF(A23="","",SUMIF(콘텐츠!B:B,A23,콘텐츠!J:J))</f>
        <v/>
      </c>
      <c r="H23">
        <f>IF(A23="","",SUMIF(캠페인성과!E:E,A23,캠페인성과!G:G))</f>
        <v/>
      </c>
      <c r="I23">
        <f>IF(A23="","",SUMIF(캠페인성과!E:E,A23,캠페인성과!K:K))</f>
        <v/>
      </c>
      <c r="J23">
        <f>IF(A23="","",IFERROR(I23/H23,""))</f>
        <v/>
      </c>
    </row>
    <row r="24">
      <c r="A24" t="inlineStr"/>
      <c r="B24">
        <f>IF(A24="","",XLOOKUP(A24,인플루언서!A:A,인플루언서!B:B,""))</f>
        <v/>
      </c>
      <c r="C24">
        <f>IF(A24="","",XLOOKUP(A24,인플루언서!A:A,인플루언서!E:E,""))</f>
        <v/>
      </c>
      <c r="D24">
        <f>IF(A24="","",COUNTIF(콘텐츠!B:B,A24))</f>
        <v/>
      </c>
      <c r="E24">
        <f>IF(A24="","",AVERAGEIF(콘텐츠!B:B,A24,콘텐츠!E:E))</f>
        <v/>
      </c>
      <c r="F24">
        <f>IF(A24="","",IFERROR(100*AVERAGE(IF(콘텐츠!B:B=A24,(콘텐츠!F:F+콘텐츠!G:G+콘텐츠!H:H+콘텐츠!I:I)/콘텐츠!E:E)), ""))</f>
        <v/>
      </c>
      <c r="G24">
        <f>IF(A24="","",SUMIF(콘텐츠!B:B,A24,콘텐츠!J:J))</f>
        <v/>
      </c>
      <c r="H24">
        <f>IF(A24="","",SUMIF(캠페인성과!E:E,A24,캠페인성과!G:G))</f>
        <v/>
      </c>
      <c r="I24">
        <f>IF(A24="","",SUMIF(캠페인성과!E:E,A24,캠페인성과!K:K))</f>
        <v/>
      </c>
      <c r="J24">
        <f>IF(A24="","",IFERROR(I24/H24,""))</f>
        <v/>
      </c>
    </row>
    <row r="25">
      <c r="A25" t="inlineStr"/>
      <c r="B25">
        <f>IF(A25="","",XLOOKUP(A25,인플루언서!A:A,인플루언서!B:B,""))</f>
        <v/>
      </c>
      <c r="C25">
        <f>IF(A25="","",XLOOKUP(A25,인플루언서!A:A,인플루언서!E:E,""))</f>
        <v/>
      </c>
      <c r="D25">
        <f>IF(A25="","",COUNTIF(콘텐츠!B:B,A25))</f>
        <v/>
      </c>
      <c r="E25">
        <f>IF(A25="","",AVERAGEIF(콘텐츠!B:B,A25,콘텐츠!E:E))</f>
        <v/>
      </c>
      <c r="F25">
        <f>IF(A25="","",IFERROR(100*AVERAGE(IF(콘텐츠!B:B=A25,(콘텐츠!F:F+콘텐츠!G:G+콘텐츠!H:H+콘텐츠!I:I)/콘텐츠!E:E)), ""))</f>
        <v/>
      </c>
      <c r="G25">
        <f>IF(A25="","",SUMIF(콘텐츠!B:B,A25,콘텐츠!J:J))</f>
        <v/>
      </c>
      <c r="H25">
        <f>IF(A25="","",SUMIF(캠페인성과!E:E,A25,캠페인성과!G:G))</f>
        <v/>
      </c>
      <c r="I25">
        <f>IF(A25="","",SUMIF(캠페인성과!E:E,A25,캠페인성과!K:K))</f>
        <v/>
      </c>
      <c r="J25">
        <f>IF(A25="","",IFERROR(I25/H25,""))</f>
        <v/>
      </c>
    </row>
    <row r="26">
      <c r="A26" t="inlineStr"/>
      <c r="B26">
        <f>IF(A26="","",XLOOKUP(A26,인플루언서!A:A,인플루언서!B:B,""))</f>
        <v/>
      </c>
      <c r="C26">
        <f>IF(A26="","",XLOOKUP(A26,인플루언서!A:A,인플루언서!E:E,""))</f>
        <v/>
      </c>
      <c r="D26">
        <f>IF(A26="","",COUNTIF(콘텐츠!B:B,A26))</f>
        <v/>
      </c>
      <c r="E26">
        <f>IF(A26="","",AVERAGEIF(콘텐츠!B:B,A26,콘텐츠!E:E))</f>
        <v/>
      </c>
      <c r="F26">
        <f>IF(A26="","",IFERROR(100*AVERAGE(IF(콘텐츠!B:B=A26,(콘텐츠!F:F+콘텐츠!G:G+콘텐츠!H:H+콘텐츠!I:I)/콘텐츠!E:E)), ""))</f>
        <v/>
      </c>
      <c r="G26">
        <f>IF(A26="","",SUMIF(콘텐츠!B:B,A26,콘텐츠!J:J))</f>
        <v/>
      </c>
      <c r="H26">
        <f>IF(A26="","",SUMIF(캠페인성과!E:E,A26,캠페인성과!G:G))</f>
        <v/>
      </c>
      <c r="I26">
        <f>IF(A26="","",SUMIF(캠페인성과!E:E,A26,캠페인성과!K:K))</f>
        <v/>
      </c>
      <c r="J26">
        <f>IF(A26="","",IFERROR(I26/H26,""))</f>
        <v/>
      </c>
    </row>
    <row r="27">
      <c r="A27" t="inlineStr"/>
      <c r="B27">
        <f>IF(A27="","",XLOOKUP(A27,인플루언서!A:A,인플루언서!B:B,""))</f>
        <v/>
      </c>
      <c r="C27">
        <f>IF(A27="","",XLOOKUP(A27,인플루언서!A:A,인플루언서!E:E,""))</f>
        <v/>
      </c>
      <c r="D27">
        <f>IF(A27="","",COUNTIF(콘텐츠!B:B,A27))</f>
        <v/>
      </c>
      <c r="E27">
        <f>IF(A27="","",AVERAGEIF(콘텐츠!B:B,A27,콘텐츠!E:E))</f>
        <v/>
      </c>
      <c r="F27">
        <f>IF(A27="","",IFERROR(100*AVERAGE(IF(콘텐츠!B:B=A27,(콘텐츠!F:F+콘텐츠!G:G+콘텐츠!H:H+콘텐츠!I:I)/콘텐츠!E:E)), ""))</f>
        <v/>
      </c>
      <c r="G27">
        <f>IF(A27="","",SUMIF(콘텐츠!B:B,A27,콘텐츠!J:J))</f>
        <v/>
      </c>
      <c r="H27">
        <f>IF(A27="","",SUMIF(캠페인성과!E:E,A27,캠페인성과!G:G))</f>
        <v/>
      </c>
      <c r="I27">
        <f>IF(A27="","",SUMIF(캠페인성과!E:E,A27,캠페인성과!K:K))</f>
        <v/>
      </c>
      <c r="J27">
        <f>IF(A27="","",IFERROR(I27/H27,""))</f>
        <v/>
      </c>
    </row>
    <row r="28">
      <c r="A28" t="inlineStr"/>
      <c r="B28">
        <f>IF(A28="","",XLOOKUP(A28,인플루언서!A:A,인플루언서!B:B,""))</f>
        <v/>
      </c>
      <c r="C28">
        <f>IF(A28="","",XLOOKUP(A28,인플루언서!A:A,인플루언서!E:E,""))</f>
        <v/>
      </c>
      <c r="D28">
        <f>IF(A28="","",COUNTIF(콘텐츠!B:B,A28))</f>
        <v/>
      </c>
      <c r="E28">
        <f>IF(A28="","",AVERAGEIF(콘텐츠!B:B,A28,콘텐츠!E:E))</f>
        <v/>
      </c>
      <c r="F28">
        <f>IF(A28="","",IFERROR(100*AVERAGE(IF(콘텐츠!B:B=A28,(콘텐츠!F:F+콘텐츠!G:G+콘텐츠!H:H+콘텐츠!I:I)/콘텐츠!E:E)), ""))</f>
        <v/>
      </c>
      <c r="G28">
        <f>IF(A28="","",SUMIF(콘텐츠!B:B,A28,콘텐츠!J:J))</f>
        <v/>
      </c>
      <c r="H28">
        <f>IF(A28="","",SUMIF(캠페인성과!E:E,A28,캠페인성과!G:G))</f>
        <v/>
      </c>
      <c r="I28">
        <f>IF(A28="","",SUMIF(캠페인성과!E:E,A28,캠페인성과!K:K))</f>
        <v/>
      </c>
      <c r="J28">
        <f>IF(A28="","",IFERROR(I28/H28,""))</f>
        <v/>
      </c>
    </row>
    <row r="29">
      <c r="A29" t="inlineStr"/>
      <c r="B29">
        <f>IF(A29="","",XLOOKUP(A29,인플루언서!A:A,인플루언서!B:B,""))</f>
        <v/>
      </c>
      <c r="C29">
        <f>IF(A29="","",XLOOKUP(A29,인플루언서!A:A,인플루언서!E:E,""))</f>
        <v/>
      </c>
      <c r="D29">
        <f>IF(A29="","",COUNTIF(콘텐츠!B:B,A29))</f>
        <v/>
      </c>
      <c r="E29">
        <f>IF(A29="","",AVERAGEIF(콘텐츠!B:B,A29,콘텐츠!E:E))</f>
        <v/>
      </c>
      <c r="F29">
        <f>IF(A29="","",IFERROR(100*AVERAGE(IF(콘텐츠!B:B=A29,(콘텐츠!F:F+콘텐츠!G:G+콘텐츠!H:H+콘텐츠!I:I)/콘텐츠!E:E)), ""))</f>
        <v/>
      </c>
      <c r="G29">
        <f>IF(A29="","",SUMIF(콘텐츠!B:B,A29,콘텐츠!J:J))</f>
        <v/>
      </c>
      <c r="H29">
        <f>IF(A29="","",SUMIF(캠페인성과!E:E,A29,캠페인성과!G:G))</f>
        <v/>
      </c>
      <c r="I29">
        <f>IF(A29="","",SUMIF(캠페인성과!E:E,A29,캠페인성과!K:K))</f>
        <v/>
      </c>
      <c r="J29">
        <f>IF(A29="","",IFERROR(I29/H29,""))</f>
        <v/>
      </c>
    </row>
    <row r="30">
      <c r="A30" t="inlineStr"/>
      <c r="B30">
        <f>IF(A30="","",XLOOKUP(A30,인플루언서!A:A,인플루언서!B:B,""))</f>
        <v/>
      </c>
      <c r="C30">
        <f>IF(A30="","",XLOOKUP(A30,인플루언서!A:A,인플루언서!E:E,""))</f>
        <v/>
      </c>
      <c r="D30">
        <f>IF(A30="","",COUNTIF(콘텐츠!B:B,A30))</f>
        <v/>
      </c>
      <c r="E30">
        <f>IF(A30="","",AVERAGEIF(콘텐츠!B:B,A30,콘텐츠!E:E))</f>
        <v/>
      </c>
      <c r="F30">
        <f>IF(A30="","",IFERROR(100*AVERAGE(IF(콘텐츠!B:B=A30,(콘텐츠!F:F+콘텐츠!G:G+콘텐츠!H:H+콘텐츠!I:I)/콘텐츠!E:E)), ""))</f>
        <v/>
      </c>
      <c r="G30">
        <f>IF(A30="","",SUMIF(콘텐츠!B:B,A30,콘텐츠!J:J))</f>
        <v/>
      </c>
      <c r="H30">
        <f>IF(A30="","",SUMIF(캠페인성과!E:E,A30,캠페인성과!G:G))</f>
        <v/>
      </c>
      <c r="I30">
        <f>IF(A30="","",SUMIF(캠페인성과!E:E,A30,캠페인성과!K:K))</f>
        <v/>
      </c>
      <c r="J30">
        <f>IF(A30="","",IFERROR(I30/H30,""))</f>
        <v/>
      </c>
    </row>
    <row r="31">
      <c r="A31" t="inlineStr"/>
      <c r="B31">
        <f>IF(A31="","",XLOOKUP(A31,인플루언서!A:A,인플루언서!B:B,""))</f>
        <v/>
      </c>
      <c r="C31">
        <f>IF(A31="","",XLOOKUP(A31,인플루언서!A:A,인플루언서!E:E,""))</f>
        <v/>
      </c>
      <c r="D31">
        <f>IF(A31="","",COUNTIF(콘텐츠!B:B,A31))</f>
        <v/>
      </c>
      <c r="E31">
        <f>IF(A31="","",AVERAGEIF(콘텐츠!B:B,A31,콘텐츠!E:E))</f>
        <v/>
      </c>
      <c r="F31">
        <f>IF(A31="","",IFERROR(100*AVERAGE(IF(콘텐츠!B:B=A31,(콘텐츠!F:F+콘텐츠!G:G+콘텐츠!H:H+콘텐츠!I:I)/콘텐츠!E:E)), ""))</f>
        <v/>
      </c>
      <c r="G31">
        <f>IF(A31="","",SUMIF(콘텐츠!B:B,A31,콘텐츠!J:J))</f>
        <v/>
      </c>
      <c r="H31">
        <f>IF(A31="","",SUMIF(캠페인성과!E:E,A31,캠페인성과!G:G))</f>
        <v/>
      </c>
      <c r="I31">
        <f>IF(A31="","",SUMIF(캠페인성과!E:E,A31,캠페인성과!K:K))</f>
        <v/>
      </c>
      <c r="J31">
        <f>IF(A31="","",IFERROR(I31/H31,""))</f>
        <v/>
      </c>
    </row>
    <row r="32">
      <c r="A32" t="inlineStr"/>
      <c r="B32">
        <f>IF(A32="","",XLOOKUP(A32,인플루언서!A:A,인플루언서!B:B,""))</f>
        <v/>
      </c>
      <c r="C32">
        <f>IF(A32="","",XLOOKUP(A32,인플루언서!A:A,인플루언서!E:E,""))</f>
        <v/>
      </c>
      <c r="D32">
        <f>IF(A32="","",COUNTIF(콘텐츠!B:B,A32))</f>
        <v/>
      </c>
      <c r="E32">
        <f>IF(A32="","",AVERAGEIF(콘텐츠!B:B,A32,콘텐츠!E:E))</f>
        <v/>
      </c>
      <c r="F32">
        <f>IF(A32="","",IFERROR(100*AVERAGE(IF(콘텐츠!B:B=A32,(콘텐츠!F:F+콘텐츠!G:G+콘텐츠!H:H+콘텐츠!I:I)/콘텐츠!E:E)), ""))</f>
        <v/>
      </c>
      <c r="G32">
        <f>IF(A32="","",SUMIF(콘텐츠!B:B,A32,콘텐츠!J:J))</f>
        <v/>
      </c>
      <c r="H32">
        <f>IF(A32="","",SUMIF(캠페인성과!E:E,A32,캠페인성과!G:G))</f>
        <v/>
      </c>
      <c r="I32">
        <f>IF(A32="","",SUMIF(캠페인성과!E:E,A32,캠페인성과!K:K))</f>
        <v/>
      </c>
      <c r="J32">
        <f>IF(A32="","",IFERROR(I32/H32,""))</f>
        <v/>
      </c>
    </row>
    <row r="33">
      <c r="A33" t="inlineStr"/>
      <c r="B33">
        <f>IF(A33="","",XLOOKUP(A33,인플루언서!A:A,인플루언서!B:B,""))</f>
        <v/>
      </c>
      <c r="C33">
        <f>IF(A33="","",XLOOKUP(A33,인플루언서!A:A,인플루언서!E:E,""))</f>
        <v/>
      </c>
      <c r="D33">
        <f>IF(A33="","",COUNTIF(콘텐츠!B:B,A33))</f>
        <v/>
      </c>
      <c r="E33">
        <f>IF(A33="","",AVERAGEIF(콘텐츠!B:B,A33,콘텐츠!E:E))</f>
        <v/>
      </c>
      <c r="F33">
        <f>IF(A33="","",IFERROR(100*AVERAGE(IF(콘텐츠!B:B=A33,(콘텐츠!F:F+콘텐츠!G:G+콘텐츠!H:H+콘텐츠!I:I)/콘텐츠!E:E)), ""))</f>
        <v/>
      </c>
      <c r="G33">
        <f>IF(A33="","",SUMIF(콘텐츠!B:B,A33,콘텐츠!J:J))</f>
        <v/>
      </c>
      <c r="H33">
        <f>IF(A33="","",SUMIF(캠페인성과!E:E,A33,캠페인성과!G:G))</f>
        <v/>
      </c>
      <c r="I33">
        <f>IF(A33="","",SUMIF(캠페인성과!E:E,A33,캠페인성과!K:K))</f>
        <v/>
      </c>
      <c r="J33">
        <f>IF(A33="","",IFERROR(I33/H33,""))</f>
        <v/>
      </c>
    </row>
    <row r="34">
      <c r="A34" t="inlineStr"/>
      <c r="B34">
        <f>IF(A34="","",XLOOKUP(A34,인플루언서!A:A,인플루언서!B:B,""))</f>
        <v/>
      </c>
      <c r="C34">
        <f>IF(A34="","",XLOOKUP(A34,인플루언서!A:A,인플루언서!E:E,""))</f>
        <v/>
      </c>
      <c r="D34">
        <f>IF(A34="","",COUNTIF(콘텐츠!B:B,A34))</f>
        <v/>
      </c>
      <c r="E34">
        <f>IF(A34="","",AVERAGEIF(콘텐츠!B:B,A34,콘텐츠!E:E))</f>
        <v/>
      </c>
      <c r="F34">
        <f>IF(A34="","",IFERROR(100*AVERAGE(IF(콘텐츠!B:B=A34,(콘텐츠!F:F+콘텐츠!G:G+콘텐츠!H:H+콘텐츠!I:I)/콘텐츠!E:E)), ""))</f>
        <v/>
      </c>
      <c r="G34">
        <f>IF(A34="","",SUMIF(콘텐츠!B:B,A34,콘텐츠!J:J))</f>
        <v/>
      </c>
      <c r="H34">
        <f>IF(A34="","",SUMIF(캠페인성과!E:E,A34,캠페인성과!G:G))</f>
        <v/>
      </c>
      <c r="I34">
        <f>IF(A34="","",SUMIF(캠페인성과!E:E,A34,캠페인성과!K:K))</f>
        <v/>
      </c>
      <c r="J34">
        <f>IF(A34="","",IFERROR(I34/H34,""))</f>
        <v/>
      </c>
    </row>
    <row r="35">
      <c r="A35" t="inlineStr"/>
      <c r="B35">
        <f>IF(A35="","",XLOOKUP(A35,인플루언서!A:A,인플루언서!B:B,""))</f>
        <v/>
      </c>
      <c r="C35">
        <f>IF(A35="","",XLOOKUP(A35,인플루언서!A:A,인플루언서!E:E,""))</f>
        <v/>
      </c>
      <c r="D35">
        <f>IF(A35="","",COUNTIF(콘텐츠!B:B,A35))</f>
        <v/>
      </c>
      <c r="E35">
        <f>IF(A35="","",AVERAGEIF(콘텐츠!B:B,A35,콘텐츠!E:E))</f>
        <v/>
      </c>
      <c r="F35">
        <f>IF(A35="","",IFERROR(100*AVERAGE(IF(콘텐츠!B:B=A35,(콘텐츠!F:F+콘텐츠!G:G+콘텐츠!H:H+콘텐츠!I:I)/콘텐츠!E:E)), ""))</f>
        <v/>
      </c>
      <c r="G35">
        <f>IF(A35="","",SUMIF(콘텐츠!B:B,A35,콘텐츠!J:J))</f>
        <v/>
      </c>
      <c r="H35">
        <f>IF(A35="","",SUMIF(캠페인성과!E:E,A35,캠페인성과!G:G))</f>
        <v/>
      </c>
      <c r="I35">
        <f>IF(A35="","",SUMIF(캠페인성과!E:E,A35,캠페인성과!K:K))</f>
        <v/>
      </c>
      <c r="J35">
        <f>IF(A35="","",IFERROR(I35/H35,""))</f>
        <v/>
      </c>
    </row>
    <row r="36">
      <c r="A36" t="inlineStr"/>
      <c r="B36">
        <f>IF(A36="","",XLOOKUP(A36,인플루언서!A:A,인플루언서!B:B,""))</f>
        <v/>
      </c>
      <c r="C36">
        <f>IF(A36="","",XLOOKUP(A36,인플루언서!A:A,인플루언서!E:E,""))</f>
        <v/>
      </c>
      <c r="D36">
        <f>IF(A36="","",COUNTIF(콘텐츠!B:B,A36))</f>
        <v/>
      </c>
      <c r="E36">
        <f>IF(A36="","",AVERAGEIF(콘텐츠!B:B,A36,콘텐츠!E:E))</f>
        <v/>
      </c>
      <c r="F36">
        <f>IF(A36="","",IFERROR(100*AVERAGE(IF(콘텐츠!B:B=A36,(콘텐츠!F:F+콘텐츠!G:G+콘텐츠!H:H+콘텐츠!I:I)/콘텐츠!E:E)), ""))</f>
        <v/>
      </c>
      <c r="G36">
        <f>IF(A36="","",SUMIF(콘텐츠!B:B,A36,콘텐츠!J:J))</f>
        <v/>
      </c>
      <c r="H36">
        <f>IF(A36="","",SUMIF(캠페인성과!E:E,A36,캠페인성과!G:G))</f>
        <v/>
      </c>
      <c r="I36">
        <f>IF(A36="","",SUMIF(캠페인성과!E:E,A36,캠페인성과!K:K))</f>
        <v/>
      </c>
      <c r="J36">
        <f>IF(A36="","",IFERROR(I36/H36,""))</f>
        <v/>
      </c>
    </row>
    <row r="37">
      <c r="A37" t="inlineStr"/>
      <c r="B37">
        <f>IF(A37="","",XLOOKUP(A37,인플루언서!A:A,인플루언서!B:B,""))</f>
        <v/>
      </c>
      <c r="C37">
        <f>IF(A37="","",XLOOKUP(A37,인플루언서!A:A,인플루언서!E:E,""))</f>
        <v/>
      </c>
      <c r="D37">
        <f>IF(A37="","",COUNTIF(콘텐츠!B:B,A37))</f>
        <v/>
      </c>
      <c r="E37">
        <f>IF(A37="","",AVERAGEIF(콘텐츠!B:B,A37,콘텐츠!E:E))</f>
        <v/>
      </c>
      <c r="F37">
        <f>IF(A37="","",IFERROR(100*AVERAGE(IF(콘텐츠!B:B=A37,(콘텐츠!F:F+콘텐츠!G:G+콘텐츠!H:H+콘텐츠!I:I)/콘텐츠!E:E)), ""))</f>
        <v/>
      </c>
      <c r="G37">
        <f>IF(A37="","",SUMIF(콘텐츠!B:B,A37,콘텐츠!J:J))</f>
        <v/>
      </c>
      <c r="H37">
        <f>IF(A37="","",SUMIF(캠페인성과!E:E,A37,캠페인성과!G:G))</f>
        <v/>
      </c>
      <c r="I37">
        <f>IF(A37="","",SUMIF(캠페인성과!E:E,A37,캠페인성과!K:K))</f>
        <v/>
      </c>
      <c r="J37">
        <f>IF(A37="","",IFERROR(I37/H37,""))</f>
        <v/>
      </c>
    </row>
    <row r="38">
      <c r="A38" t="inlineStr"/>
      <c r="B38">
        <f>IF(A38="","",XLOOKUP(A38,인플루언서!A:A,인플루언서!B:B,""))</f>
        <v/>
      </c>
      <c r="C38">
        <f>IF(A38="","",XLOOKUP(A38,인플루언서!A:A,인플루언서!E:E,""))</f>
        <v/>
      </c>
      <c r="D38">
        <f>IF(A38="","",COUNTIF(콘텐츠!B:B,A38))</f>
        <v/>
      </c>
      <c r="E38">
        <f>IF(A38="","",AVERAGEIF(콘텐츠!B:B,A38,콘텐츠!E:E))</f>
        <v/>
      </c>
      <c r="F38">
        <f>IF(A38="","",IFERROR(100*AVERAGE(IF(콘텐츠!B:B=A38,(콘텐츠!F:F+콘텐츠!G:G+콘텐츠!H:H+콘텐츠!I:I)/콘텐츠!E:E)), ""))</f>
        <v/>
      </c>
      <c r="G38">
        <f>IF(A38="","",SUMIF(콘텐츠!B:B,A38,콘텐츠!J:J))</f>
        <v/>
      </c>
      <c r="H38">
        <f>IF(A38="","",SUMIF(캠페인성과!E:E,A38,캠페인성과!G:G))</f>
        <v/>
      </c>
      <c r="I38">
        <f>IF(A38="","",SUMIF(캠페인성과!E:E,A38,캠페인성과!K:K))</f>
        <v/>
      </c>
      <c r="J38">
        <f>IF(A38="","",IFERROR(I38/H38,""))</f>
        <v/>
      </c>
    </row>
    <row r="39">
      <c r="A39" t="inlineStr"/>
      <c r="B39">
        <f>IF(A39="","",XLOOKUP(A39,인플루언서!A:A,인플루언서!B:B,""))</f>
        <v/>
      </c>
      <c r="C39">
        <f>IF(A39="","",XLOOKUP(A39,인플루언서!A:A,인플루언서!E:E,""))</f>
        <v/>
      </c>
      <c r="D39">
        <f>IF(A39="","",COUNTIF(콘텐츠!B:B,A39))</f>
        <v/>
      </c>
      <c r="E39">
        <f>IF(A39="","",AVERAGEIF(콘텐츠!B:B,A39,콘텐츠!E:E))</f>
        <v/>
      </c>
      <c r="F39">
        <f>IF(A39="","",IFERROR(100*AVERAGE(IF(콘텐츠!B:B=A39,(콘텐츠!F:F+콘텐츠!G:G+콘텐츠!H:H+콘텐츠!I:I)/콘텐츠!E:E)), ""))</f>
        <v/>
      </c>
      <c r="G39">
        <f>IF(A39="","",SUMIF(콘텐츠!B:B,A39,콘텐츠!J:J))</f>
        <v/>
      </c>
      <c r="H39">
        <f>IF(A39="","",SUMIF(캠페인성과!E:E,A39,캠페인성과!G:G))</f>
        <v/>
      </c>
      <c r="I39">
        <f>IF(A39="","",SUMIF(캠페인성과!E:E,A39,캠페인성과!K:K))</f>
        <v/>
      </c>
      <c r="J39">
        <f>IF(A39="","",IFERROR(I39/H39,""))</f>
        <v/>
      </c>
    </row>
    <row r="40">
      <c r="A40" t="inlineStr"/>
      <c r="B40">
        <f>IF(A40="","",XLOOKUP(A40,인플루언서!A:A,인플루언서!B:B,""))</f>
        <v/>
      </c>
      <c r="C40">
        <f>IF(A40="","",XLOOKUP(A40,인플루언서!A:A,인플루언서!E:E,""))</f>
        <v/>
      </c>
      <c r="D40">
        <f>IF(A40="","",COUNTIF(콘텐츠!B:B,A40))</f>
        <v/>
      </c>
      <c r="E40">
        <f>IF(A40="","",AVERAGEIF(콘텐츠!B:B,A40,콘텐츠!E:E))</f>
        <v/>
      </c>
      <c r="F40">
        <f>IF(A40="","",IFERROR(100*AVERAGE(IF(콘텐츠!B:B=A40,(콘텐츠!F:F+콘텐츠!G:G+콘텐츠!H:H+콘텐츠!I:I)/콘텐츠!E:E)), ""))</f>
        <v/>
      </c>
      <c r="G40">
        <f>IF(A40="","",SUMIF(콘텐츠!B:B,A40,콘텐츠!J:J))</f>
        <v/>
      </c>
      <c r="H40">
        <f>IF(A40="","",SUMIF(캠페인성과!E:E,A40,캠페인성과!G:G))</f>
        <v/>
      </c>
      <c r="I40">
        <f>IF(A40="","",SUMIF(캠페인성과!E:E,A40,캠페인성과!K:K))</f>
        <v/>
      </c>
      <c r="J40">
        <f>IF(A40="","",IFERROR(I40/H40,""))</f>
        <v/>
      </c>
    </row>
    <row r="41">
      <c r="A41" t="inlineStr"/>
      <c r="B41">
        <f>IF(A41="","",XLOOKUP(A41,인플루언서!A:A,인플루언서!B:B,""))</f>
        <v/>
      </c>
      <c r="C41">
        <f>IF(A41="","",XLOOKUP(A41,인플루언서!A:A,인플루언서!E:E,""))</f>
        <v/>
      </c>
      <c r="D41">
        <f>IF(A41="","",COUNTIF(콘텐츠!B:B,A41))</f>
        <v/>
      </c>
      <c r="E41">
        <f>IF(A41="","",AVERAGEIF(콘텐츠!B:B,A41,콘텐츠!E:E))</f>
        <v/>
      </c>
      <c r="F41">
        <f>IF(A41="","",IFERROR(100*AVERAGE(IF(콘텐츠!B:B=A41,(콘텐츠!F:F+콘텐츠!G:G+콘텐츠!H:H+콘텐츠!I:I)/콘텐츠!E:E)), ""))</f>
        <v/>
      </c>
      <c r="G41">
        <f>IF(A41="","",SUMIF(콘텐츠!B:B,A41,콘텐츠!J:J))</f>
        <v/>
      </c>
      <c r="H41">
        <f>IF(A41="","",SUMIF(캠페인성과!E:E,A41,캠페인성과!G:G))</f>
        <v/>
      </c>
      <c r="I41">
        <f>IF(A41="","",SUMIF(캠페인성과!E:E,A41,캠페인성과!K:K))</f>
        <v/>
      </c>
      <c r="J41">
        <f>IF(A41="","",IFERROR(I41/H41,""))</f>
        <v/>
      </c>
    </row>
    <row r="42">
      <c r="A42" t="inlineStr"/>
      <c r="B42">
        <f>IF(A42="","",XLOOKUP(A42,인플루언서!A:A,인플루언서!B:B,""))</f>
        <v/>
      </c>
      <c r="C42">
        <f>IF(A42="","",XLOOKUP(A42,인플루언서!A:A,인플루언서!E:E,""))</f>
        <v/>
      </c>
      <c r="D42">
        <f>IF(A42="","",COUNTIF(콘텐츠!B:B,A42))</f>
        <v/>
      </c>
      <c r="E42">
        <f>IF(A42="","",AVERAGEIF(콘텐츠!B:B,A42,콘텐츠!E:E))</f>
        <v/>
      </c>
      <c r="F42">
        <f>IF(A42="","",IFERROR(100*AVERAGE(IF(콘텐츠!B:B=A42,(콘텐츠!F:F+콘텐츠!G:G+콘텐츠!H:H+콘텐츠!I:I)/콘텐츠!E:E)), ""))</f>
        <v/>
      </c>
      <c r="G42">
        <f>IF(A42="","",SUMIF(콘텐츠!B:B,A42,콘텐츠!J:J))</f>
        <v/>
      </c>
      <c r="H42">
        <f>IF(A42="","",SUMIF(캠페인성과!E:E,A42,캠페인성과!G:G))</f>
        <v/>
      </c>
      <c r="I42">
        <f>IF(A42="","",SUMIF(캠페인성과!E:E,A42,캠페인성과!K:K))</f>
        <v/>
      </c>
      <c r="J42">
        <f>IF(A42="","",IFERROR(I42/H42,""))</f>
        <v/>
      </c>
    </row>
    <row r="43">
      <c r="A43" t="inlineStr"/>
      <c r="B43">
        <f>IF(A43="","",XLOOKUP(A43,인플루언서!A:A,인플루언서!B:B,""))</f>
        <v/>
      </c>
      <c r="C43">
        <f>IF(A43="","",XLOOKUP(A43,인플루언서!A:A,인플루언서!E:E,""))</f>
        <v/>
      </c>
      <c r="D43">
        <f>IF(A43="","",COUNTIF(콘텐츠!B:B,A43))</f>
        <v/>
      </c>
      <c r="E43">
        <f>IF(A43="","",AVERAGEIF(콘텐츠!B:B,A43,콘텐츠!E:E))</f>
        <v/>
      </c>
      <c r="F43">
        <f>IF(A43="","",IFERROR(100*AVERAGE(IF(콘텐츠!B:B=A43,(콘텐츠!F:F+콘텐츠!G:G+콘텐츠!H:H+콘텐츠!I:I)/콘텐츠!E:E)), ""))</f>
        <v/>
      </c>
      <c r="G43">
        <f>IF(A43="","",SUMIF(콘텐츠!B:B,A43,콘텐츠!J:J))</f>
        <v/>
      </c>
      <c r="H43">
        <f>IF(A43="","",SUMIF(캠페인성과!E:E,A43,캠페인성과!G:G))</f>
        <v/>
      </c>
      <c r="I43">
        <f>IF(A43="","",SUMIF(캠페인성과!E:E,A43,캠페인성과!K:K))</f>
        <v/>
      </c>
      <c r="J43">
        <f>IF(A43="","",IFERROR(I43/H43,""))</f>
        <v/>
      </c>
    </row>
    <row r="44">
      <c r="A44" t="inlineStr"/>
      <c r="B44">
        <f>IF(A44="","",XLOOKUP(A44,인플루언서!A:A,인플루언서!B:B,""))</f>
        <v/>
      </c>
      <c r="C44">
        <f>IF(A44="","",XLOOKUP(A44,인플루언서!A:A,인플루언서!E:E,""))</f>
        <v/>
      </c>
      <c r="D44">
        <f>IF(A44="","",COUNTIF(콘텐츠!B:B,A44))</f>
        <v/>
      </c>
      <c r="E44">
        <f>IF(A44="","",AVERAGEIF(콘텐츠!B:B,A44,콘텐츠!E:E))</f>
        <v/>
      </c>
      <c r="F44">
        <f>IF(A44="","",IFERROR(100*AVERAGE(IF(콘텐츠!B:B=A44,(콘텐츠!F:F+콘텐츠!G:G+콘텐츠!H:H+콘텐츠!I:I)/콘텐츠!E:E)), ""))</f>
        <v/>
      </c>
      <c r="G44">
        <f>IF(A44="","",SUMIF(콘텐츠!B:B,A44,콘텐츠!J:J))</f>
        <v/>
      </c>
      <c r="H44">
        <f>IF(A44="","",SUMIF(캠페인성과!E:E,A44,캠페인성과!G:G))</f>
        <v/>
      </c>
      <c r="I44">
        <f>IF(A44="","",SUMIF(캠페인성과!E:E,A44,캠페인성과!K:K))</f>
        <v/>
      </c>
      <c r="J44">
        <f>IF(A44="","",IFERROR(I44/H44,""))</f>
        <v/>
      </c>
    </row>
    <row r="45">
      <c r="A45" t="inlineStr"/>
      <c r="B45">
        <f>IF(A45="","",XLOOKUP(A45,인플루언서!A:A,인플루언서!B:B,""))</f>
        <v/>
      </c>
      <c r="C45">
        <f>IF(A45="","",XLOOKUP(A45,인플루언서!A:A,인플루언서!E:E,""))</f>
        <v/>
      </c>
      <c r="D45">
        <f>IF(A45="","",COUNTIF(콘텐츠!B:B,A45))</f>
        <v/>
      </c>
      <c r="E45">
        <f>IF(A45="","",AVERAGEIF(콘텐츠!B:B,A45,콘텐츠!E:E))</f>
        <v/>
      </c>
      <c r="F45">
        <f>IF(A45="","",IFERROR(100*AVERAGE(IF(콘텐츠!B:B=A45,(콘텐츠!F:F+콘텐츠!G:G+콘텐츠!H:H+콘텐츠!I:I)/콘텐츠!E:E)), ""))</f>
        <v/>
      </c>
      <c r="G45">
        <f>IF(A45="","",SUMIF(콘텐츠!B:B,A45,콘텐츠!J:J))</f>
        <v/>
      </c>
      <c r="H45">
        <f>IF(A45="","",SUMIF(캠페인성과!E:E,A45,캠페인성과!G:G))</f>
        <v/>
      </c>
      <c r="I45">
        <f>IF(A45="","",SUMIF(캠페인성과!E:E,A45,캠페인성과!K:K))</f>
        <v/>
      </c>
      <c r="J45">
        <f>IF(A45="","",IFERROR(I45/H45,""))</f>
        <v/>
      </c>
    </row>
    <row r="46">
      <c r="A46" t="inlineStr"/>
      <c r="B46">
        <f>IF(A46="","",XLOOKUP(A46,인플루언서!A:A,인플루언서!B:B,""))</f>
        <v/>
      </c>
      <c r="C46">
        <f>IF(A46="","",XLOOKUP(A46,인플루언서!A:A,인플루언서!E:E,""))</f>
        <v/>
      </c>
      <c r="D46">
        <f>IF(A46="","",COUNTIF(콘텐츠!B:B,A46))</f>
        <v/>
      </c>
      <c r="E46">
        <f>IF(A46="","",AVERAGEIF(콘텐츠!B:B,A46,콘텐츠!E:E))</f>
        <v/>
      </c>
      <c r="F46">
        <f>IF(A46="","",IFERROR(100*AVERAGE(IF(콘텐츠!B:B=A46,(콘텐츠!F:F+콘텐츠!G:G+콘텐츠!H:H+콘텐츠!I:I)/콘텐츠!E:E)), ""))</f>
        <v/>
      </c>
      <c r="G46">
        <f>IF(A46="","",SUMIF(콘텐츠!B:B,A46,콘텐츠!J:J))</f>
        <v/>
      </c>
      <c r="H46">
        <f>IF(A46="","",SUMIF(캠페인성과!E:E,A46,캠페인성과!G:G))</f>
        <v/>
      </c>
      <c r="I46">
        <f>IF(A46="","",SUMIF(캠페인성과!E:E,A46,캠페인성과!K:K))</f>
        <v/>
      </c>
      <c r="J46">
        <f>IF(A46="","",IFERROR(I46/H46,""))</f>
        <v/>
      </c>
    </row>
    <row r="47">
      <c r="A47" t="inlineStr"/>
      <c r="B47">
        <f>IF(A47="","",XLOOKUP(A47,인플루언서!A:A,인플루언서!B:B,""))</f>
        <v/>
      </c>
      <c r="C47">
        <f>IF(A47="","",XLOOKUP(A47,인플루언서!A:A,인플루언서!E:E,""))</f>
        <v/>
      </c>
      <c r="D47">
        <f>IF(A47="","",COUNTIF(콘텐츠!B:B,A47))</f>
        <v/>
      </c>
      <c r="E47">
        <f>IF(A47="","",AVERAGEIF(콘텐츠!B:B,A47,콘텐츠!E:E))</f>
        <v/>
      </c>
      <c r="F47">
        <f>IF(A47="","",IFERROR(100*AVERAGE(IF(콘텐츠!B:B=A47,(콘텐츠!F:F+콘텐츠!G:G+콘텐츠!H:H+콘텐츠!I:I)/콘텐츠!E:E)), ""))</f>
        <v/>
      </c>
      <c r="G47">
        <f>IF(A47="","",SUMIF(콘텐츠!B:B,A47,콘텐츠!J:J))</f>
        <v/>
      </c>
      <c r="H47">
        <f>IF(A47="","",SUMIF(캠페인성과!E:E,A47,캠페인성과!G:G))</f>
        <v/>
      </c>
      <c r="I47">
        <f>IF(A47="","",SUMIF(캠페인성과!E:E,A47,캠페인성과!K:K))</f>
        <v/>
      </c>
      <c r="J47">
        <f>IF(A47="","",IFERROR(I47/H47,""))</f>
        <v/>
      </c>
    </row>
    <row r="48">
      <c r="A48" t="inlineStr"/>
      <c r="B48">
        <f>IF(A48="","",XLOOKUP(A48,인플루언서!A:A,인플루언서!B:B,""))</f>
        <v/>
      </c>
      <c r="C48">
        <f>IF(A48="","",XLOOKUP(A48,인플루언서!A:A,인플루언서!E:E,""))</f>
        <v/>
      </c>
      <c r="D48">
        <f>IF(A48="","",COUNTIF(콘텐츠!B:B,A48))</f>
        <v/>
      </c>
      <c r="E48">
        <f>IF(A48="","",AVERAGEIF(콘텐츠!B:B,A48,콘텐츠!E:E))</f>
        <v/>
      </c>
      <c r="F48">
        <f>IF(A48="","",IFERROR(100*AVERAGE(IF(콘텐츠!B:B=A48,(콘텐츠!F:F+콘텐츠!G:G+콘텐츠!H:H+콘텐츠!I:I)/콘텐츠!E:E)), ""))</f>
        <v/>
      </c>
      <c r="G48">
        <f>IF(A48="","",SUMIF(콘텐츠!B:B,A48,콘텐츠!J:J))</f>
        <v/>
      </c>
      <c r="H48">
        <f>IF(A48="","",SUMIF(캠페인성과!E:E,A48,캠페인성과!G:G))</f>
        <v/>
      </c>
      <c r="I48">
        <f>IF(A48="","",SUMIF(캠페인성과!E:E,A48,캠페인성과!K:K))</f>
        <v/>
      </c>
      <c r="J48">
        <f>IF(A48="","",IFERROR(I48/H48,""))</f>
        <v/>
      </c>
    </row>
    <row r="49">
      <c r="A49" t="inlineStr"/>
      <c r="B49">
        <f>IF(A49="","",XLOOKUP(A49,인플루언서!A:A,인플루언서!B:B,""))</f>
        <v/>
      </c>
      <c r="C49">
        <f>IF(A49="","",XLOOKUP(A49,인플루언서!A:A,인플루언서!E:E,""))</f>
        <v/>
      </c>
      <c r="D49">
        <f>IF(A49="","",COUNTIF(콘텐츠!B:B,A49))</f>
        <v/>
      </c>
      <c r="E49">
        <f>IF(A49="","",AVERAGEIF(콘텐츠!B:B,A49,콘텐츠!E:E))</f>
        <v/>
      </c>
      <c r="F49">
        <f>IF(A49="","",IFERROR(100*AVERAGE(IF(콘텐츠!B:B=A49,(콘텐츠!F:F+콘텐츠!G:G+콘텐츠!H:H+콘텐츠!I:I)/콘텐츠!E:E)), ""))</f>
        <v/>
      </c>
      <c r="G49">
        <f>IF(A49="","",SUMIF(콘텐츠!B:B,A49,콘텐츠!J:J))</f>
        <v/>
      </c>
      <c r="H49">
        <f>IF(A49="","",SUMIF(캠페인성과!E:E,A49,캠페인성과!G:G))</f>
        <v/>
      </c>
      <c r="I49">
        <f>IF(A49="","",SUMIF(캠페인성과!E:E,A49,캠페인성과!K:K))</f>
        <v/>
      </c>
      <c r="J49">
        <f>IF(A49="","",IFERROR(I49/H49,""))</f>
        <v/>
      </c>
    </row>
    <row r="50">
      <c r="A50" t="inlineStr"/>
      <c r="B50">
        <f>IF(A50="","",XLOOKUP(A50,인플루언서!A:A,인플루언서!B:B,""))</f>
        <v/>
      </c>
      <c r="C50">
        <f>IF(A50="","",XLOOKUP(A50,인플루언서!A:A,인플루언서!E:E,""))</f>
        <v/>
      </c>
      <c r="D50">
        <f>IF(A50="","",COUNTIF(콘텐츠!B:B,A50))</f>
        <v/>
      </c>
      <c r="E50">
        <f>IF(A50="","",AVERAGEIF(콘텐츠!B:B,A50,콘텐츠!E:E))</f>
        <v/>
      </c>
      <c r="F50">
        <f>IF(A50="","",IFERROR(100*AVERAGE(IF(콘텐츠!B:B=A50,(콘텐츠!F:F+콘텐츠!G:G+콘텐츠!H:H+콘텐츠!I:I)/콘텐츠!E:E)), ""))</f>
        <v/>
      </c>
      <c r="G50">
        <f>IF(A50="","",SUMIF(콘텐츠!B:B,A50,콘텐츠!J:J))</f>
        <v/>
      </c>
      <c r="H50">
        <f>IF(A50="","",SUMIF(캠페인성과!E:E,A50,캠페인성과!G:G))</f>
        <v/>
      </c>
      <c r="I50">
        <f>IF(A50="","",SUMIF(캠페인성과!E:E,A50,캠페인성과!K:K))</f>
        <v/>
      </c>
      <c r="J50">
        <f>IF(A50="","",IFERROR(I50/H50,""))</f>
        <v/>
      </c>
    </row>
    <row r="51">
      <c r="A51" t="inlineStr"/>
      <c r="B51">
        <f>IF(A51="","",XLOOKUP(A51,인플루언서!A:A,인플루언서!B:B,""))</f>
        <v/>
      </c>
      <c r="C51">
        <f>IF(A51="","",XLOOKUP(A51,인플루언서!A:A,인플루언서!E:E,""))</f>
        <v/>
      </c>
      <c r="D51">
        <f>IF(A51="","",COUNTIF(콘텐츠!B:B,A51))</f>
        <v/>
      </c>
      <c r="E51">
        <f>IF(A51="","",AVERAGEIF(콘텐츠!B:B,A51,콘텐츠!E:E))</f>
        <v/>
      </c>
      <c r="F51">
        <f>IF(A51="","",IFERROR(100*AVERAGE(IF(콘텐츠!B:B=A51,(콘텐츠!F:F+콘텐츠!G:G+콘텐츠!H:H+콘텐츠!I:I)/콘텐츠!E:E)), ""))</f>
        <v/>
      </c>
      <c r="G51">
        <f>IF(A51="","",SUMIF(콘텐츠!B:B,A51,콘텐츠!J:J))</f>
        <v/>
      </c>
      <c r="H51">
        <f>IF(A51="","",SUMIF(캠페인성과!E:E,A51,캠페인성과!G:G))</f>
        <v/>
      </c>
      <c r="I51">
        <f>IF(A51="","",SUMIF(캠페인성과!E:E,A51,캠페인성과!K:K))</f>
        <v/>
      </c>
      <c r="J51">
        <f>IF(A51="","",IFERROR(I51/H51,""))</f>
        <v/>
      </c>
    </row>
    <row r="52">
      <c r="A52" t="inlineStr"/>
      <c r="B52">
        <f>IF(A52="","",XLOOKUP(A52,인플루언서!A:A,인플루언서!B:B,""))</f>
        <v/>
      </c>
      <c r="C52">
        <f>IF(A52="","",XLOOKUP(A52,인플루언서!A:A,인플루언서!E:E,""))</f>
        <v/>
      </c>
      <c r="D52">
        <f>IF(A52="","",COUNTIF(콘텐츠!B:B,A52))</f>
        <v/>
      </c>
      <c r="E52">
        <f>IF(A52="","",AVERAGEIF(콘텐츠!B:B,A52,콘텐츠!E:E))</f>
        <v/>
      </c>
      <c r="F52">
        <f>IF(A52="","",IFERROR(100*AVERAGE(IF(콘텐츠!B:B=A52,(콘텐츠!F:F+콘텐츠!G:G+콘텐츠!H:H+콘텐츠!I:I)/콘텐츠!E:E)), ""))</f>
        <v/>
      </c>
      <c r="G52">
        <f>IF(A52="","",SUMIF(콘텐츠!B:B,A52,콘텐츠!J:J))</f>
        <v/>
      </c>
      <c r="H52">
        <f>IF(A52="","",SUMIF(캠페인성과!E:E,A52,캠페인성과!G:G))</f>
        <v/>
      </c>
      <c r="I52">
        <f>IF(A52="","",SUMIF(캠페인성과!E:E,A52,캠페인성과!K:K))</f>
        <v/>
      </c>
      <c r="J52">
        <f>IF(A52="","",IFERROR(I52/H52,""))</f>
        <v/>
      </c>
    </row>
    <row r="53">
      <c r="A53" t="inlineStr"/>
      <c r="B53">
        <f>IF(A53="","",XLOOKUP(A53,인플루언서!A:A,인플루언서!B:B,""))</f>
        <v/>
      </c>
      <c r="C53">
        <f>IF(A53="","",XLOOKUP(A53,인플루언서!A:A,인플루언서!E:E,""))</f>
        <v/>
      </c>
      <c r="D53">
        <f>IF(A53="","",COUNTIF(콘텐츠!B:B,A53))</f>
        <v/>
      </c>
      <c r="E53">
        <f>IF(A53="","",AVERAGEIF(콘텐츠!B:B,A53,콘텐츠!E:E))</f>
        <v/>
      </c>
      <c r="F53">
        <f>IF(A53="","",IFERROR(100*AVERAGE(IF(콘텐츠!B:B=A53,(콘텐츠!F:F+콘텐츠!G:G+콘텐츠!H:H+콘텐츠!I:I)/콘텐츠!E:E)), ""))</f>
        <v/>
      </c>
      <c r="G53">
        <f>IF(A53="","",SUMIF(콘텐츠!B:B,A53,콘텐츠!J:J))</f>
        <v/>
      </c>
      <c r="H53">
        <f>IF(A53="","",SUMIF(캠페인성과!E:E,A53,캠페인성과!G:G))</f>
        <v/>
      </c>
      <c r="I53">
        <f>IF(A53="","",SUMIF(캠페인성과!E:E,A53,캠페인성과!K:K))</f>
        <v/>
      </c>
      <c r="J53">
        <f>IF(A53="","",IFERROR(I53/H53,""))</f>
        <v/>
      </c>
    </row>
    <row r="54">
      <c r="A54" t="inlineStr"/>
      <c r="B54">
        <f>IF(A54="","",XLOOKUP(A54,인플루언서!A:A,인플루언서!B:B,""))</f>
        <v/>
      </c>
      <c r="C54">
        <f>IF(A54="","",XLOOKUP(A54,인플루언서!A:A,인플루언서!E:E,""))</f>
        <v/>
      </c>
      <c r="D54">
        <f>IF(A54="","",COUNTIF(콘텐츠!B:B,A54))</f>
        <v/>
      </c>
      <c r="E54">
        <f>IF(A54="","",AVERAGEIF(콘텐츠!B:B,A54,콘텐츠!E:E))</f>
        <v/>
      </c>
      <c r="F54">
        <f>IF(A54="","",IFERROR(100*AVERAGE(IF(콘텐츠!B:B=A54,(콘텐츠!F:F+콘텐츠!G:G+콘텐츠!H:H+콘텐츠!I:I)/콘텐츠!E:E)), ""))</f>
        <v/>
      </c>
      <c r="G54">
        <f>IF(A54="","",SUMIF(콘텐츠!B:B,A54,콘텐츠!J:J))</f>
        <v/>
      </c>
      <c r="H54">
        <f>IF(A54="","",SUMIF(캠페인성과!E:E,A54,캠페인성과!G:G))</f>
        <v/>
      </c>
      <c r="I54">
        <f>IF(A54="","",SUMIF(캠페인성과!E:E,A54,캠페인성과!K:K))</f>
        <v/>
      </c>
      <c r="J54">
        <f>IF(A54="","",IFERROR(I54/H54,""))</f>
        <v/>
      </c>
    </row>
  </sheetData>
  <conditionalFormatting sqref="J5:J5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2026-02-26T23:42:02Z</dcterms:created>
  <dcterms:modified xmlns:dcterms="http://purl.org/dc/terms/" xmlns:xsi="http://www.w3.org/2001/XMLSchema-instance" xsi:type="dcterms:W3CDTF">2026-02-26T23:42:02Z</dcterms:modified>
</cp:coreProperties>
</file>