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플루언서_목록" sheetId="1" state="visible" r:id="rId1"/>
    <sheet xmlns:r="http://schemas.openxmlformats.org/officeDocument/2006/relationships" name="콘텐츠_성과" sheetId="2" state="visible" r:id="rId2"/>
    <sheet xmlns:r="http://schemas.openxmlformats.org/officeDocument/2006/relationships" name="캠페인_일별" sheetId="3" state="visible" r:id="rId3"/>
    <sheet xmlns:r="http://schemas.openxmlformats.org/officeDocument/2006/relationships" name="매핑_규칙" sheetId="4" state="visible" r:id="rId4"/>
    <sheet xmlns:r="http://schemas.openxmlformats.org/officeDocument/2006/relationships" name="대시보드_요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influencer_id</t>
        </is>
      </c>
      <c r="B1" t="inlineStr">
        <is>
          <t>name</t>
        </is>
      </c>
      <c r="C1" t="inlineStr">
        <is>
          <t>platform</t>
        </is>
      </c>
      <c r="D1" t="inlineStr">
        <is>
          <t>category</t>
        </is>
      </c>
      <c r="E1" t="inlineStr">
        <is>
          <t>followers</t>
        </is>
      </c>
      <c r="F1" t="inlineStr">
        <is>
          <t>country</t>
        </is>
      </c>
      <c r="G1" t="inlineStr">
        <is>
          <t>language</t>
        </is>
      </c>
    </row>
    <row r="2">
      <c r="A2" t="inlineStr">
        <is>
          <t>I-001</t>
        </is>
      </c>
      <c r="B2" t="inlineStr">
        <is>
          <t>홍길동</t>
        </is>
      </c>
      <c r="C2" t="inlineStr">
        <is>
          <t>instagram</t>
        </is>
      </c>
      <c r="D2" t="inlineStr">
        <is>
          <t>beauty</t>
        </is>
      </c>
      <c r="E2" t="n">
        <v>120000</v>
      </c>
      <c r="F2" t="inlineStr">
        <is>
          <t>KR</t>
        </is>
      </c>
      <c r="G2" t="inlineStr">
        <is>
          <t>ko</t>
        </is>
      </c>
    </row>
    <row r="3">
      <c r="A3" t="inlineStr">
        <is>
          <t>I-002</t>
        </is>
      </c>
      <c r="B3" t="inlineStr">
        <is>
          <t>Jane Doe</t>
        </is>
      </c>
      <c r="C3" t="inlineStr">
        <is>
          <t>youtube</t>
        </is>
      </c>
      <c r="D3" t="inlineStr">
        <is>
          <t>tech</t>
        </is>
      </c>
      <c r="E3" t="n">
        <v>56000</v>
      </c>
      <c r="F3" t="inlineStr">
        <is>
          <t>US</t>
        </is>
      </c>
      <c r="G3" t="inlineStr">
        <is>
          <t>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8" customWidth="1" min="11" max="11"/>
  </cols>
  <sheetData>
    <row r="1">
      <c r="A1" t="inlineStr">
        <is>
          <t>date</t>
        </is>
      </c>
      <c r="B1" t="inlineStr">
        <is>
          <t>influencer_id</t>
        </is>
      </c>
      <c r="C1" t="inlineStr">
        <is>
          <t>content_id</t>
        </is>
      </c>
      <c r="D1" t="inlineStr">
        <is>
          <t>content_type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saves</t>
        </is>
      </c>
      <c r="J1" t="inlineStr">
        <is>
          <t>link_clicks</t>
        </is>
      </c>
      <c r="K1" t="inlineStr">
        <is>
          <t>promo_code_sales</t>
        </is>
      </c>
    </row>
    <row r="2">
      <c r="A2" t="inlineStr">
        <is>
          <t>2026-02-01</t>
        </is>
      </c>
      <c r="B2" t="inlineStr">
        <is>
          <t>I-001</t>
        </is>
      </c>
      <c r="C2" t="inlineStr">
        <is>
          <t>C-1001</t>
        </is>
      </c>
      <c r="D2" t="inlineStr">
        <is>
          <t>reels</t>
        </is>
      </c>
      <c r="E2" t="n">
        <v>85000</v>
      </c>
      <c r="F2" t="n">
        <v>6200</v>
      </c>
      <c r="G2" t="n">
        <v>410</v>
      </c>
      <c r="H2" t="n">
        <v>260</v>
      </c>
      <c r="I2" t="n">
        <v>900</v>
      </c>
      <c r="J2" t="n">
        <v>1200</v>
      </c>
      <c r="K2" t="n">
        <v>35</v>
      </c>
    </row>
    <row r="3">
      <c r="A3" t="inlineStr">
        <is>
          <t>2026-02-01</t>
        </is>
      </c>
      <c r="B3" t="inlineStr">
        <is>
          <t>I-002</t>
        </is>
      </c>
      <c r="C3" t="inlineStr">
        <is>
          <t>C-2002</t>
        </is>
      </c>
      <c r="D3" t="inlineStr">
        <is>
          <t>shorts</t>
        </is>
      </c>
      <c r="E3" t="n">
        <v>43000</v>
      </c>
      <c r="F3" t="n">
        <v>1800</v>
      </c>
      <c r="G3" t="n">
        <v>120</v>
      </c>
      <c r="H3" t="n">
        <v>75</v>
      </c>
      <c r="I3" t="n">
        <v>0</v>
      </c>
      <c r="J3" t="n">
        <v>540</v>
      </c>
      <c r="K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>
      <c r="A1" t="inlineStr">
        <is>
          <t>date</t>
        </is>
      </c>
      <c r="B1" t="inlineStr">
        <is>
          <t>channel</t>
        </is>
      </c>
      <c r="C1" t="inlineStr">
        <is>
          <t>campaign_id</t>
        </is>
      </c>
      <c r="D1" t="inlineStr">
        <is>
          <t>campaign_name</t>
        </is>
      </c>
      <c r="E1" t="inlineStr">
        <is>
          <t>impressions</t>
        </is>
      </c>
      <c r="F1" t="inlineStr">
        <is>
          <t>clicks</t>
        </is>
      </c>
      <c r="G1" t="inlineStr">
        <is>
          <t>spend</t>
        </is>
      </c>
      <c r="H1" t="inlineStr">
        <is>
          <t>conversions</t>
        </is>
      </c>
      <c r="I1" t="inlineStr">
        <is>
          <t>revenue</t>
        </is>
      </c>
    </row>
    <row r="2">
      <c r="A2" t="inlineStr">
        <is>
          <t>2026-02-01</t>
        </is>
      </c>
      <c r="B2" t="inlineStr">
        <is>
          <t>google_ads</t>
        </is>
      </c>
      <c r="C2" t="inlineStr">
        <is>
          <t>G-001</t>
        </is>
      </c>
      <c r="D2" t="inlineStr">
        <is>
          <t>Search Brand</t>
        </is>
      </c>
      <c r="E2" t="n">
        <v>12000</v>
      </c>
      <c r="F2" t="n">
        <v>540</v>
      </c>
      <c r="G2" t="n">
        <v>350000</v>
      </c>
      <c r="H2" t="n">
        <v>48</v>
      </c>
      <c r="I2" t="n">
        <v>1900000</v>
      </c>
    </row>
    <row r="3">
      <c r="A3" t="inlineStr">
        <is>
          <t>2026-02-01</t>
        </is>
      </c>
      <c r="B3" t="inlineStr">
        <is>
          <t>meta_ads</t>
        </is>
      </c>
      <c r="C3" t="inlineStr">
        <is>
          <t>M-014</t>
        </is>
      </c>
      <c r="D3" t="inlineStr">
        <is>
          <t>Prospecting</t>
        </is>
      </c>
      <c r="E3" t="n">
        <v>20000</v>
      </c>
      <c r="F3" t="n">
        <v>620</v>
      </c>
      <c r="G3" t="n">
        <v>420000</v>
      </c>
      <c r="H3" t="n">
        <v>35</v>
      </c>
      <c r="I3" t="n">
        <v>1600000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41" customWidth="1" min="2" max="2"/>
    <col width="47" customWidth="1" min="3" max="3"/>
  </cols>
  <sheetData>
    <row r="1">
      <c r="A1" t="inlineStr">
        <is>
          <t>rule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인플루언서 매출 귀속 방식</t>
        </is>
      </c>
      <c r="B2" t="inlineStr">
        <is>
          <t>promo_code_sales * AOV</t>
        </is>
      </c>
      <c r="C2" t="inlineStr">
        <is>
          <t>promo_code_sales에 평균객단가(AOV)를 곱하거나, 실제 매출을 입력</t>
        </is>
      </c>
    </row>
    <row r="3">
      <c r="A3" t="inlineStr">
        <is>
          <t>콘텐츠 참여율(ER)</t>
        </is>
      </c>
      <c r="B3" t="inlineStr">
        <is>
          <t>(likes+comments+shares+saves)/followers</t>
        </is>
      </c>
      <c r="C3" t="inlineStr">
        <is>
          <t>followers는 인플루언서_목록에서 참조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</cols>
  <sheetData>
    <row r="1">
      <c r="A1" t="inlineStr">
        <is>
          <t>KPI</t>
        </is>
      </c>
      <c r="B1" t="inlineStr">
        <is>
          <t>값</t>
        </is>
      </c>
      <c r="C1" t="inlineStr">
        <is>
          <t>설명</t>
        </is>
      </c>
    </row>
    <row r="2">
      <c r="A2" t="inlineStr">
        <is>
          <t>총 광고비</t>
        </is>
      </c>
      <c r="B2">
        <f>SUM(캠페인_일별!G:G)</f>
        <v/>
      </c>
      <c r="C2" t="inlineStr">
        <is>
          <t>광고비 합</t>
        </is>
      </c>
    </row>
    <row r="3">
      <c r="A3" t="inlineStr">
        <is>
          <t>총 매출</t>
        </is>
      </c>
      <c r="B3">
        <f>SUM(캠페인_일별!I:I)</f>
        <v/>
      </c>
      <c r="C3" t="inlineStr">
        <is>
          <t>광고 기여 매출</t>
        </is>
      </c>
    </row>
    <row r="4">
      <c r="A4" t="inlineStr">
        <is>
          <t>ROAS</t>
        </is>
      </c>
      <c r="B4">
        <f>IFERROR(B3/B2,0)</f>
        <v/>
      </c>
      <c r="C4" t="inlineStr">
        <is>
          <t>매출/광고비</t>
        </is>
      </c>
    </row>
    <row r="5">
      <c r="A5" t="inlineStr">
        <is>
          <t>총 콘텐츠 조회수</t>
        </is>
      </c>
      <c r="B5">
        <f>SUM(콘텐츠_성과!E:E)</f>
        <v/>
      </c>
      <c r="C5" t="inlineStr">
        <is>
          <t>인플루언서 콘텐츠 조회수 합</t>
        </is>
      </c>
    </row>
    <row r="6">
      <c r="A6" t="inlineStr">
        <is>
          <t>총 링크 클릭</t>
        </is>
      </c>
      <c r="B6">
        <f>SUM(콘텐츠_성과!J:J)</f>
        <v/>
      </c>
      <c r="C6" t="inlineStr">
        <is>
          <t>링크 클릭 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2026-02-26T23:52:13Z</dcterms:created>
  <dcterms:modified xmlns:dcterms="http://purl.org/dc/terms/" xmlns:xsi="http://www.w3.org/2001/XMLSchema-instance" xsi:type="dcterms:W3CDTF">2026-02-26T23:52:13Z</dcterms:modified>
</cp:coreProperties>
</file>