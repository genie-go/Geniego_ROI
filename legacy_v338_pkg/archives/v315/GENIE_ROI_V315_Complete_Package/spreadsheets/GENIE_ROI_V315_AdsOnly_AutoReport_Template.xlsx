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_일별" sheetId="1" state="visible" r:id="rId1"/>
    <sheet xmlns:r="http://schemas.openxmlformats.org/officeDocument/2006/relationships" name="대시보드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campaign_id</t>
        </is>
      </c>
      <c r="D1" t="inlineStr">
        <is>
          <t>campaign_name</t>
        </is>
      </c>
      <c r="E1" t="inlineStr">
        <is>
          <t>impressions</t>
        </is>
      </c>
      <c r="F1" t="inlineStr">
        <is>
          <t>clicks</t>
        </is>
      </c>
      <c r="G1" t="inlineStr">
        <is>
          <t>spend</t>
        </is>
      </c>
      <c r="H1" t="inlineStr">
        <is>
          <t>conversions</t>
        </is>
      </c>
      <c r="I1" t="inlineStr">
        <is>
          <t>revenue</t>
        </is>
      </c>
    </row>
    <row r="2">
      <c r="A2" t="inlineStr">
        <is>
          <t>2026-02-01</t>
        </is>
      </c>
      <c r="B2" t="inlineStr">
        <is>
          <t>google_ads</t>
        </is>
      </c>
      <c r="C2" t="inlineStr">
        <is>
          <t>G-001</t>
        </is>
      </c>
      <c r="D2" t="inlineStr">
        <is>
          <t>Search Brand</t>
        </is>
      </c>
      <c r="E2" t="n">
        <v>12000</v>
      </c>
      <c r="F2" t="n">
        <v>540</v>
      </c>
      <c r="G2" t="n">
        <v>350000</v>
      </c>
      <c r="H2" t="n">
        <v>48</v>
      </c>
      <c r="I2" t="n">
        <v>1900000</v>
      </c>
    </row>
    <row r="3">
      <c r="A3" t="inlineStr">
        <is>
          <t>2026-02-01</t>
        </is>
      </c>
      <c r="B3" t="inlineStr">
        <is>
          <t>meta_ads</t>
        </is>
      </c>
      <c r="C3" t="inlineStr">
        <is>
          <t>M-014</t>
        </is>
      </c>
      <c r="D3" t="inlineStr">
        <is>
          <t>Prospecting</t>
        </is>
      </c>
      <c r="E3" t="n">
        <v>20000</v>
      </c>
      <c r="F3" t="n">
        <v>620</v>
      </c>
      <c r="G3" t="n">
        <v>420000</v>
      </c>
      <c r="H3" t="n">
        <v>35</v>
      </c>
      <c r="I3" t="n">
        <v>1600000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</cols>
  <sheetData>
    <row r="1">
      <c r="A1" t="inlineStr">
        <is>
          <t>KPI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총 광고비</t>
        </is>
      </c>
      <c r="B2">
        <f>SUM(캠페인_일별!G:G)</f>
        <v/>
      </c>
      <c r="C2" t="inlineStr">
        <is>
          <t>기간 내 지출 합</t>
        </is>
      </c>
    </row>
    <row r="3">
      <c r="A3" t="inlineStr">
        <is>
          <t>총 매출</t>
        </is>
      </c>
      <c r="B3">
        <f>SUM(캠페인_일별!I:I)</f>
        <v/>
      </c>
      <c r="C3" t="inlineStr">
        <is>
          <t>전환에 귀속된 매출 합</t>
        </is>
      </c>
    </row>
    <row r="4">
      <c r="A4" t="inlineStr">
        <is>
          <t>총 전환</t>
        </is>
      </c>
      <c r="B4">
        <f>SUM(캠페인_일별!H:H)</f>
        <v/>
      </c>
      <c r="C4" t="inlineStr">
        <is>
          <t>구매/리드 등 전환 수</t>
        </is>
      </c>
    </row>
    <row r="5">
      <c r="A5" t="inlineStr">
        <is>
          <t>ROAS</t>
        </is>
      </c>
      <c r="B5">
        <f>IFERROR(B2/B1,0)</f>
        <v/>
      </c>
      <c r="C5" t="inlineStr">
        <is>
          <t>매출/광고비</t>
        </is>
      </c>
    </row>
    <row r="6">
      <c r="A6" t="inlineStr">
        <is>
          <t>CPA</t>
        </is>
      </c>
      <c r="B6">
        <f>IFERROR(B1/B3,0)</f>
        <v/>
      </c>
      <c r="C6" t="inlineStr">
        <is>
          <t>광고비/전환</t>
        </is>
      </c>
    </row>
    <row r="7">
      <c r="A7" t="inlineStr">
        <is>
          <t>CTR</t>
        </is>
      </c>
      <c r="B7">
        <f>IFERROR(SUM(캠페인_일별!F:F)/SUM(캠페인_일별!E:E),0)</f>
        <v/>
      </c>
      <c r="C7" t="inlineStr">
        <is>
          <t>클릭/노출</t>
        </is>
      </c>
    </row>
    <row r="8">
      <c r="A8" t="inlineStr">
        <is>
          <t>CVR</t>
        </is>
      </c>
      <c r="B8">
        <f>IFERROR(SUM(캠페인_일별!H:H)/SUM(캠페인_일별!F:F),0)</f>
        <v/>
      </c>
      <c r="C8" t="inlineStr">
        <is>
          <t>전환/클릭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2026-02-26T23:52:13Z</dcterms:created>
  <dcterms:modified xmlns:dcterms="http://purl.org/dc/terms/" xmlns:xsi="http://www.w3.org/2001/XMLSchema-instance" xsi:type="dcterms:W3CDTF">2026-02-26T23:52:13Z</dcterms:modified>
</cp:coreProperties>
</file>